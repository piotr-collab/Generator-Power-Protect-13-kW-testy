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kcja" sheetId="1" state="visible" r:id="rId1"/>
    <sheet xmlns:r="http://schemas.openxmlformats.org/officeDocument/2006/relationships" name="01_Metryczka_limity" sheetId="2" state="visible" r:id="rId2"/>
    <sheet xmlns:r="http://schemas.openxmlformats.org/officeDocument/2006/relationships" name="02_Checklista" sheetId="3" state="visible" r:id="rId3"/>
    <sheet xmlns:r="http://schemas.openxmlformats.org/officeDocument/2006/relationships" name="03_Plan_dobowy" sheetId="4" state="visible" r:id="rId4"/>
    <sheet xmlns:r="http://schemas.openxmlformats.org/officeDocument/2006/relationships" name="04_Rejestr_pomiarow" sheetId="5" state="visible" r:id="rId5"/>
    <sheet xmlns:r="http://schemas.openxmlformats.org/officeDocument/2006/relationships" name="05_Zdarzenia_paliwo" sheetId="6" state="visible" r:id="rId6"/>
    <sheet xmlns:r="http://schemas.openxmlformats.org/officeDocument/2006/relationships" name="06_Doba_typowa" sheetId="7" state="visible" r:id="rId7"/>
    <sheet xmlns:r="http://schemas.openxmlformats.org/officeDocument/2006/relationships" name="07_Testy_FAT" sheetId="8" state="visible" r:id="rId8"/>
    <sheet xmlns:r="http://schemas.openxmlformats.org/officeDocument/2006/relationships" name="08_Asymetria_skoki" sheetId="9" state="visible" r:id="rId9"/>
    <sheet xmlns:r="http://schemas.openxmlformats.org/officeDocument/2006/relationships" name="09_Awaryjne" sheetId="10" state="visible" r:id="rId10"/>
    <sheet xmlns:r="http://schemas.openxmlformats.org/officeDocument/2006/relationships" name="10_Podsumowanie" sheetId="11" state="visible" r:id="rId11"/>
  </sheets>
  <definedNames>
    <definedName name="_xlnm._FilterDatabase" localSheetId="2" hidden="1">'02_Checklista'!$A$2:$H$13</definedName>
    <definedName name="_xlnm._FilterDatabase" localSheetId="3" hidden="1">'03_Plan_dobowy'!$A$2:$L$26</definedName>
    <definedName name="_xlnm._FilterDatabase" localSheetId="4" hidden="1">'04_Rejestr_pomiarow'!$A$2:$AH$38</definedName>
    <definedName name="_xlnm._FilterDatabase" localSheetId="5" hidden="1">'05_Zdarzenia_paliwo'!$A$2:$L$32</definedName>
    <definedName name="_xlnm._FilterDatabase" localSheetId="6" hidden="1">'06_Doba_typowa'!$A$2:$K$8</definedName>
    <definedName name="_xlnm._FilterDatabase" localSheetId="7" hidden="1">'07_Testy_FAT'!$A$2:$K$7</definedName>
    <definedName name="_xlnm._FilterDatabase" localSheetId="8" hidden="1">'08_Asymetria_skoki'!$A$2:$K$6</definedName>
    <definedName name="_xlnm._FilterDatabase" localSheetId="9" hidden="1">'09_Awaryjne'!$A$2:$K$6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1F2933"/>
      <sz val="11"/>
    </font>
    <font>
      <name val="Aptos"/>
      <b val="1"/>
      <color rgb="00FFFFFF"/>
    </font>
    <font>
      <b val="1"/>
      <color rgb="00FFFFFF"/>
    </font>
    <font>
      <name val="Aptos"/>
      <b val="1"/>
      <color rgb="00FFFFFF"/>
      <sz val="20"/>
    </font>
    <font>
      <name val="Aptos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B5E8E"/>
      </patternFill>
    </fill>
    <fill>
      <patternFill patternType="solid">
        <fgColor rgb="00E7EA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7D3"/>
      </left>
      <right style="thin">
        <color rgb="00B7C7D3"/>
      </right>
      <top style="thin">
        <color rgb="00B7C7D3"/>
      </top>
      <bottom style="thin">
        <color rgb="00B7C7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9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9" fontId="6" fillId="4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Planowane obciążenie dobowe</a:t>
            </a:r>
          </a:p>
        </rich>
      </tx>
    </title>
    <plotArea>
      <lineChart>
        <grouping val="standard"/>
        <ser>
          <idx val="0"/>
          <order val="0"/>
          <tx>
            <strRef>
              <f>'03_Plan_dobowy'!C2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'03_Plan_dobowy'!$A$3:$A$26</f>
            </numRef>
          </cat>
          <val>
            <numRef>
              <f>'03_Plan_dobowy'!$C$3:$C$26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Godzina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3429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Plan badań EcoGeneratora Power Protect 13 kW 3F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Skoroszyt do dobowego testu pracy, FAT i rejestracji parametrów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34" customHeight="1">
      <c r="A4" s="4" t="inlineStr">
        <is>
          <t>Cel badania</t>
        </is>
      </c>
      <c r="B4" s="4" t="inlineStr">
        <is>
          <t>Sprawdzenie stabilności pracy hybrydowego generatora 13 kW pod profilem dobowym klienta oraz w kontrolowanych zdarzeniach: piki obciążenia, asymetria faz, niski SOC, start agregatu, ładowanie BESS, E-STOP, PV i praca bez ręcznej obsługi nocnej.</t>
        </is>
      </c>
      <c r="C4" s="4" t="n"/>
      <c r="D4" s="4" t="n"/>
      <c r="E4" s="4" t="n"/>
      <c r="F4" s="4" t="n"/>
      <c r="G4" s="4" t="n"/>
      <c r="H4" s="4" t="n"/>
    </row>
    <row r="5" ht="34" customHeight="1">
      <c r="A5" s="4" t="inlineStr">
        <is>
          <t>Najważniejsza zasada</t>
        </is>
      </c>
      <c r="B5" s="4" t="inlineStr">
        <is>
          <t>Maksymalna moc badanego EcoGeneratora to 13 kW. Obciążnica może mieć większy zapas, ale nie jest to cel testu. Nocne godziny są tylko do automatycznego logowania; zdarzenia awaryjne i dolewanie paliwa planować w oknie dziennym.</t>
        </is>
      </c>
      <c r="C5" s="4" t="n"/>
      <c r="D5" s="4" t="n"/>
      <c r="E5" s="4" t="n"/>
      <c r="F5" s="4" t="n"/>
      <c r="G5" s="4" t="n"/>
      <c r="H5" s="4" t="n"/>
    </row>
    <row r="6" ht="34" customHeight="1">
      <c r="A6" s="4" t="n"/>
      <c r="B6" s="4" t="n"/>
      <c r="C6" s="4" t="n"/>
      <c r="D6" s="4" t="n"/>
      <c r="E6" s="4" t="n"/>
      <c r="F6" s="4" t="n"/>
      <c r="G6" s="4" t="n"/>
      <c r="H6" s="4" t="n"/>
    </row>
    <row r="7" ht="34" customHeight="1">
      <c r="A7" s="4" t="inlineStr">
        <is>
          <t>Kolejność pracy</t>
        </is>
      </c>
      <c r="B7" s="4" t="n"/>
      <c r="C7" s="4" t="n"/>
      <c r="D7" s="4" t="n"/>
      <c r="E7" s="4" t="n"/>
      <c r="F7" s="4" t="n"/>
      <c r="G7" s="4" t="n"/>
      <c r="H7" s="4" t="n"/>
    </row>
    <row r="8" ht="34" customHeight="1">
      <c r="A8" s="4" t="n">
        <v>1</v>
      </c>
      <c r="B8" s="4" t="inlineStr">
        <is>
          <t>Uzupełnij metryczkę i limity w arkuszu 01.</t>
        </is>
      </c>
      <c r="C8" s="4" t="n"/>
      <c r="D8" s="4" t="n"/>
      <c r="E8" s="4" t="n"/>
      <c r="F8" s="4" t="n"/>
      <c r="G8" s="4" t="n"/>
      <c r="H8" s="4" t="n"/>
    </row>
    <row r="9" ht="34" customHeight="1">
      <c r="A9" s="4" t="n">
        <v>2</v>
      </c>
      <c r="B9" s="4" t="inlineStr">
        <is>
          <t>Przejdź przez checklistę bezpieczeństwa w arkuszu 02.</t>
        </is>
      </c>
      <c r="C9" s="4" t="n"/>
      <c r="D9" s="4" t="n"/>
      <c r="E9" s="4" t="n"/>
      <c r="F9" s="4" t="n"/>
      <c r="G9" s="4" t="n"/>
      <c r="H9" s="4" t="n"/>
    </row>
    <row r="10" ht="34" customHeight="1">
      <c r="A10" s="4" t="n">
        <v>3</v>
      </c>
      <c r="B10" s="4" t="inlineStr">
        <is>
          <t>Zrealizuj profil dobowy z arkusza 03; kolumny Godzina doby i Obciążenie są bazą badania.</t>
        </is>
      </c>
      <c r="C10" s="4" t="n"/>
      <c r="D10" s="4" t="n"/>
      <c r="E10" s="4" t="n"/>
      <c r="F10" s="4" t="n"/>
      <c r="G10" s="4" t="n"/>
      <c r="H10" s="4" t="n"/>
    </row>
    <row r="11" ht="34" customHeight="1">
      <c r="A11" s="4" t="n">
        <v>4</v>
      </c>
      <c r="B11" s="4" t="inlineStr">
        <is>
          <t>Na bieżąco wpisuj pomiary w arkuszu 04, minimum co godzinę oraz przy zdarzeniach.</t>
        </is>
      </c>
      <c r="C11" s="4" t="n"/>
      <c r="D11" s="4" t="n"/>
      <c r="E11" s="4" t="n"/>
      <c r="F11" s="4" t="n"/>
      <c r="G11" s="4" t="n"/>
      <c r="H11" s="4" t="n"/>
    </row>
    <row r="12" ht="34" customHeight="1">
      <c r="A12" s="4" t="n">
        <v>5</v>
      </c>
      <c r="B12" s="4" t="inlineStr">
        <is>
          <t>Zapisuj paliwo, alarmy i temperatury szczególne w arkuszu 05.</t>
        </is>
      </c>
      <c r="C12" s="4" t="n"/>
      <c r="D12" s="4" t="n"/>
      <c r="E12" s="4" t="n"/>
      <c r="F12" s="4" t="n"/>
      <c r="G12" s="4" t="n"/>
      <c r="H12" s="4" t="n"/>
    </row>
    <row r="13" ht="34" customHeight="1">
      <c r="A13" s="4" t="n">
        <v>6</v>
      </c>
      <c r="B13" s="4" t="inlineStr">
        <is>
          <t>Wykonaj scenariusze FAT z arkuszy 06-09 tylko w godzinach obsługi dziennej.</t>
        </is>
      </c>
      <c r="C13" s="4" t="n"/>
      <c r="D13" s="4" t="n"/>
      <c r="E13" s="4" t="n"/>
      <c r="F13" s="4" t="n"/>
      <c r="G13" s="4" t="n"/>
      <c r="H13" s="4" t="n"/>
    </row>
    <row r="14" ht="34" customHeight="1">
      <c r="A14" s="4" t="n">
        <v>7</v>
      </c>
      <c r="B14" s="4" t="inlineStr">
        <is>
          <t>Podsumuj wynik w arkuszu 10.</t>
        </is>
      </c>
      <c r="C14" s="4" t="n"/>
      <c r="D14" s="4" t="n"/>
      <c r="E14" s="4" t="n"/>
      <c r="F14" s="4" t="n"/>
      <c r="G14" s="4" t="n"/>
      <c r="H14" s="4" t="n"/>
    </row>
    <row r="15" ht="34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3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34" customHeight="1">
      <c r="A17" s="4" t="inlineStr">
        <is>
          <t>Źródła założeń</t>
        </is>
      </c>
      <c r="B17" s="4" t="n"/>
      <c r="C17" s="4" t="n"/>
      <c r="D17" s="4" t="n"/>
      <c r="E17" s="4" t="n"/>
      <c r="F17" s="4" t="n"/>
      <c r="G17" s="4" t="n"/>
      <c r="H17" s="4" t="n"/>
    </row>
    <row r="18" ht="34" customHeight="1">
      <c r="A18" s="4" t="inlineStr">
        <is>
          <t>•</t>
        </is>
      </c>
      <c r="B18" s="4" t="inlineStr">
        <is>
          <t>Badanie_generatora_13kW.docx: pomiary U, I, f, P, S, cosφ, temperatura, spadek napięcia, stopnie 0/25/50/75/100%.</t>
        </is>
      </c>
      <c r="C18" s="4" t="n"/>
      <c r="D18" s="4" t="n"/>
      <c r="E18" s="4" t="n"/>
      <c r="F18" s="4" t="n"/>
      <c r="G18" s="4" t="n"/>
      <c r="H18" s="4" t="n"/>
    </row>
    <row r="19" ht="34" customHeight="1">
      <c r="A19" s="4" t="inlineStr">
        <is>
          <t>•</t>
        </is>
      </c>
      <c r="B19" s="4" t="inlineStr">
        <is>
          <t>Scenariusze testów GG: tryby BESS/falownik/agregat/PV, asymetria, niski SOC, E-STOP, 24h profil pracy.</t>
        </is>
      </c>
      <c r="C19" s="4" t="n"/>
      <c r="D19" s="4" t="n"/>
      <c r="E19" s="4" t="n"/>
      <c r="F19" s="4" t="n"/>
      <c r="G19" s="4" t="n"/>
      <c r="H19" s="4" t="n"/>
    </row>
    <row r="20" ht="34" customHeight="1">
      <c r="A20" s="4" t="inlineStr">
        <is>
          <t>•</t>
        </is>
      </c>
      <c r="B20" s="4" t="inlineStr">
        <is>
          <t>Protokół FAT: struktura metryczki, checklist, rejestr próbek, alarmy, wnioski końcowe.</t>
        </is>
      </c>
      <c r="C20" s="4" t="n"/>
      <c r="D20" s="4" t="n"/>
      <c r="E20" s="4" t="n"/>
      <c r="F20" s="4" t="n"/>
      <c r="G20" s="4" t="n"/>
      <c r="H20" s="4" t="n"/>
    </row>
    <row r="21" ht="34" customHeight="1">
      <c r="A21" s="4" t="inlineStr">
        <is>
          <t>•</t>
        </is>
      </c>
      <c r="B21" s="4" t="inlineStr">
        <is>
          <t>Prospekt i prezentacje: EG 13 kW, PV ok. 2,46 kWp, BESS ok. 20 kWh, backup agregat 13 kW, monitoring 24/7, tryb cichy nocą.</t>
        </is>
      </c>
      <c r="C21" s="4" t="n"/>
      <c r="D21" s="4" t="n"/>
      <c r="E21" s="4" t="n"/>
      <c r="F21" s="4" t="n"/>
      <c r="G21" s="4" t="n"/>
      <c r="H21" s="4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56" customWidth="1" min="4" max="4"/>
  </cols>
  <sheetData>
    <row r="1" ht="32" customHeight="1">
      <c r="A1" s="1" t="inlineStr">
        <is>
          <t>Metryczka urządzenia i limity badania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5" t="inlineStr">
        <is>
          <t>Pole</t>
        </is>
      </c>
      <c r="B2" s="5" t="inlineStr">
        <is>
          <t>Wartość</t>
        </is>
      </c>
      <c r="C2" s="5" t="inlineStr">
        <is>
          <t>Pole</t>
        </is>
      </c>
      <c r="D2" s="5" t="inlineStr">
        <is>
          <t>Wartość</t>
        </is>
      </c>
      <c r="E2" s="6" t="n"/>
      <c r="F2" s="6" t="n"/>
      <c r="G2" s="6" t="n"/>
      <c r="H2" s="6" t="n"/>
    </row>
    <row r="3" ht="24" customHeight="1">
      <c r="A3" s="4" t="inlineStr">
        <is>
          <t>Data badania</t>
        </is>
      </c>
      <c r="B3" s="4" t="inlineStr"/>
      <c r="C3" s="4" t="inlineStr">
        <is>
          <t>Miejsce badania</t>
        </is>
      </c>
      <c r="D3" s="4" t="inlineStr"/>
      <c r="E3" s="2" t="n"/>
      <c r="F3" s="2" t="n"/>
      <c r="G3" s="2" t="n"/>
      <c r="H3" s="2" t="n"/>
    </row>
    <row r="4" ht="24" customHeight="1">
      <c r="A4" s="4" t="inlineStr">
        <is>
          <t>Osoba prowadząca</t>
        </is>
      </c>
      <c r="B4" s="4" t="inlineStr"/>
      <c r="C4" s="4" t="inlineStr">
        <is>
          <t>Kwalifikacje / uprawnienia</t>
        </is>
      </c>
      <c r="D4" s="4" t="inlineStr"/>
      <c r="E4" s="2" t="n"/>
      <c r="F4" s="2" t="n"/>
      <c r="G4" s="2" t="n"/>
      <c r="H4" s="2" t="n"/>
    </row>
    <row r="5" ht="24" customHeight="1">
      <c r="A5" s="4" t="inlineStr">
        <is>
          <t>Wersja firmware falownika</t>
        </is>
      </c>
      <c r="B5" s="4" t="inlineStr"/>
      <c r="C5" s="4" t="inlineStr">
        <is>
          <t>Wersja BMS / sterownika</t>
        </is>
      </c>
      <c r="D5" s="4" t="inlineStr"/>
      <c r="E5" s="2" t="n"/>
      <c r="F5" s="2" t="n"/>
      <c r="G5" s="2" t="n"/>
      <c r="H5" s="2" t="n"/>
    </row>
    <row r="6" ht="24" customHeight="1">
      <c r="A6" s="4" t="inlineStr">
        <is>
          <t>PV</t>
        </is>
      </c>
      <c r="B6" s="4" t="inlineStr">
        <is>
          <t>ok. 2,46 kWp / do uzupełnienia</t>
        </is>
      </c>
      <c r="C6" s="4" t="inlineStr">
        <is>
          <t>Magazyn energii</t>
        </is>
      </c>
      <c r="D6" s="4" t="inlineStr">
        <is>
          <t>ok. 20 kWh / do uzupełnienia</t>
        </is>
      </c>
      <c r="E6" s="2" t="n"/>
      <c r="F6" s="2" t="n"/>
      <c r="G6" s="2" t="n"/>
      <c r="H6" s="2" t="n"/>
    </row>
    <row r="7" ht="24" customHeight="1">
      <c r="A7" s="4" t="inlineStr">
        <is>
          <t>Agregat backup</t>
        </is>
      </c>
      <c r="B7" s="4" t="inlineStr">
        <is>
          <t>13 kW / do uzupełnienia</t>
        </is>
      </c>
      <c r="C7" s="4" t="inlineStr">
        <is>
          <t>Paliwo</t>
        </is>
      </c>
      <c r="D7" s="4" t="inlineStr">
        <is>
          <t>benzyna / diesel / metanol / inne</t>
        </is>
      </c>
      <c r="E7" s="2" t="n"/>
      <c r="F7" s="2" t="n"/>
      <c r="G7" s="2" t="n"/>
      <c r="H7" s="2" t="n"/>
    </row>
    <row r="8" ht="24" customHeight="1">
      <c r="A8" s="4" t="inlineStr">
        <is>
          <t>Obciążnica</t>
        </is>
      </c>
      <c r="B8" s="4" t="inlineStr">
        <is>
          <t>rezystancyjna, fazy osobno</t>
        </is>
      </c>
      <c r="C8" s="4" t="inlineStr">
        <is>
          <t>Limit testu</t>
        </is>
      </c>
      <c r="D8" s="4" t="inlineStr">
        <is>
          <t>13 kW EcoGeneratora</t>
        </is>
      </c>
      <c r="E8" s="2" t="n"/>
      <c r="F8" s="2" t="n"/>
      <c r="G8" s="2" t="n"/>
      <c r="H8" s="2" t="n"/>
    </row>
    <row r="9" ht="24" customHeight="1">
      <c r="A9" s="4" t="n"/>
      <c r="B9" s="4" t="n"/>
      <c r="C9" s="4" t="n"/>
      <c r="D9" s="4" t="n"/>
      <c r="E9" s="2" t="n"/>
      <c r="F9" s="2" t="n"/>
      <c r="G9" s="2" t="n"/>
      <c r="H9" s="2" t="n"/>
    </row>
    <row r="10" ht="24" customHeight="1">
      <c r="A10" s="4" t="n"/>
      <c r="B10" s="4" t="n"/>
      <c r="C10" s="4" t="n"/>
      <c r="D10" s="4" t="n"/>
      <c r="E10" s="2" t="n"/>
      <c r="F10" s="2" t="n"/>
      <c r="G10" s="2" t="n"/>
      <c r="H10" s="2" t="n"/>
    </row>
    <row r="11" ht="24" customHeight="1">
      <c r="A11" s="5" t="inlineStr">
        <is>
          <t>Limity robocze i punkty odniesienia</t>
        </is>
      </c>
      <c r="B11" s="4" t="n"/>
      <c r="C11" s="4" t="n"/>
      <c r="D11" s="4" t="n"/>
      <c r="E11" s="2" t="n"/>
      <c r="F11" s="2" t="n"/>
      <c r="G11" s="2" t="n"/>
      <c r="H11" s="2" t="n"/>
    </row>
    <row r="12" ht="24" customHeight="1">
      <c r="A12" s="5" t="inlineStr">
        <is>
          <t>Parametr</t>
        </is>
      </c>
      <c r="B12" s="5" t="inlineStr">
        <is>
          <t>Wartość</t>
        </is>
      </c>
      <c r="C12" s="5" t="inlineStr">
        <is>
          <t>Jednostka</t>
        </is>
      </c>
      <c r="D12" s="5" t="inlineStr">
        <is>
          <t>Uwagi</t>
        </is>
      </c>
      <c r="E12" s="6" t="n"/>
      <c r="F12" s="6" t="n"/>
      <c r="G12" s="6" t="n"/>
      <c r="H12" s="6" t="n"/>
    </row>
    <row r="13" ht="24" customHeight="1">
      <c r="A13" s="4" t="inlineStr">
        <is>
          <t>Moc znamionowa</t>
        </is>
      </c>
      <c r="B13" s="4" t="n">
        <v>13</v>
      </c>
      <c r="C13" s="4" t="inlineStr">
        <is>
          <t>kW</t>
        </is>
      </c>
      <c r="D13" s="4" t="inlineStr">
        <is>
          <t>Nie przekraczać bez zgody konstruktora</t>
        </is>
      </c>
      <c r="E13" s="2" t="n"/>
      <c r="F13" s="2" t="n"/>
      <c r="G13" s="2" t="n"/>
      <c r="H13" s="2" t="n"/>
    </row>
    <row r="14" ht="24" customHeight="1">
      <c r="A14" s="4" t="inlineStr">
        <is>
          <t>25% mocy</t>
        </is>
      </c>
      <c r="B14" s="4">
        <f>ROUND($B$12*25%,2)</f>
        <v/>
      </c>
      <c r="C14" s="4" t="inlineStr">
        <is>
          <t>kW</t>
        </is>
      </c>
      <c r="D14" s="4" t="inlineStr">
        <is>
          <t>ok. 3,25 kW</t>
        </is>
      </c>
      <c r="E14" s="2" t="n"/>
      <c r="F14" s="2" t="n"/>
      <c r="G14" s="2" t="n"/>
      <c r="H14" s="2" t="n"/>
    </row>
    <row r="15" ht="24" customHeight="1">
      <c r="A15" s="4" t="inlineStr">
        <is>
          <t>50% mocy</t>
        </is>
      </c>
      <c r="B15" s="4">
        <f>ROUND($B$12*50%,2)</f>
        <v/>
      </c>
      <c r="C15" s="4" t="inlineStr">
        <is>
          <t>kW</t>
        </is>
      </c>
      <c r="D15" s="4" t="inlineStr">
        <is>
          <t>ok. 6,50 kW</t>
        </is>
      </c>
      <c r="E15" s="2" t="n"/>
      <c r="F15" s="2" t="n"/>
      <c r="G15" s="2" t="n"/>
      <c r="H15" s="2" t="n"/>
    </row>
    <row r="16" ht="24" customHeight="1">
      <c r="A16" s="4" t="inlineStr">
        <is>
          <t>75% mocy</t>
        </is>
      </c>
      <c r="B16" s="4">
        <f>ROUND($B$12*75%,2)</f>
        <v/>
      </c>
      <c r="C16" s="4" t="inlineStr">
        <is>
          <t>kW</t>
        </is>
      </c>
      <c r="D16" s="4" t="inlineStr">
        <is>
          <t>ok. 9,75 kW</t>
        </is>
      </c>
      <c r="E16" s="2" t="n"/>
      <c r="F16" s="2" t="n"/>
      <c r="G16" s="2" t="n"/>
      <c r="H16" s="2" t="n"/>
    </row>
    <row r="17" ht="24" customHeight="1">
      <c r="A17" s="4" t="inlineStr">
        <is>
          <t>100% mocy</t>
        </is>
      </c>
      <c r="B17" s="4">
        <f>ROUND($B$12,2)</f>
        <v/>
      </c>
      <c r="C17" s="4" t="inlineStr">
        <is>
          <t>kW</t>
        </is>
      </c>
      <c r="D17" s="4" t="inlineStr">
        <is>
          <t>13 kW</t>
        </is>
      </c>
      <c r="E17" s="2" t="n"/>
      <c r="F17" s="2" t="n"/>
      <c r="G17" s="2" t="n"/>
      <c r="H17" s="2" t="n"/>
    </row>
    <row r="18" ht="24" customHeight="1">
      <c r="A18" s="4" t="inlineStr">
        <is>
          <t>Moc na fazę przy 100%</t>
        </is>
      </c>
      <c r="B18" s="4">
        <f>ROUND($B$12/3,2)</f>
        <v/>
      </c>
      <c r="C18" s="4" t="inlineStr">
        <is>
          <t>kW/faza</t>
        </is>
      </c>
      <c r="D18" s="4" t="inlineStr">
        <is>
          <t>obciążenie symetryczne</t>
        </is>
      </c>
      <c r="E18" s="2" t="n"/>
      <c r="F18" s="2" t="n"/>
      <c r="G18" s="2" t="n"/>
      <c r="H18" s="2" t="n"/>
    </row>
    <row r="19" ht="24" customHeight="1">
      <c r="A19" s="4" t="inlineStr">
        <is>
          <t>Napięcie fazowe nominalne</t>
        </is>
      </c>
      <c r="B19" s="4" t="n">
        <v>230</v>
      </c>
      <c r="C19" s="4" t="inlineStr">
        <is>
          <t>V L-N</t>
        </is>
      </c>
      <c r="D19" s="4" t="inlineStr">
        <is>
          <t>kontrola każdej fazy</t>
        </is>
      </c>
      <c r="E19" s="2" t="n"/>
      <c r="F19" s="2" t="n"/>
      <c r="G19" s="2" t="n"/>
      <c r="H19" s="2" t="n"/>
    </row>
    <row r="20" ht="24" customHeight="1">
      <c r="A20" s="4" t="inlineStr">
        <is>
          <t>Napięcie międzyfazowe nominalne</t>
        </is>
      </c>
      <c r="B20" s="4" t="n">
        <v>400</v>
      </c>
      <c r="C20" s="4" t="inlineStr">
        <is>
          <t>V L-L</t>
        </is>
      </c>
      <c r="D20" s="4" t="inlineStr">
        <is>
          <t>kontrola par faz</t>
        </is>
      </c>
      <c r="E20" s="2" t="n"/>
      <c r="F20" s="2" t="n"/>
      <c r="G20" s="2" t="n"/>
      <c r="H20" s="2" t="n"/>
    </row>
    <row r="21" ht="24" customHeight="1">
      <c r="A21" s="4" t="inlineStr">
        <is>
          <t>Częstotliwość nominalna</t>
        </is>
      </c>
      <c r="B21" s="4" t="n">
        <v>50</v>
      </c>
      <c r="C21" s="4" t="inlineStr">
        <is>
          <t>Hz</t>
        </is>
      </c>
      <c r="D21" s="4" t="inlineStr">
        <is>
          <t>rejestrować min/max</t>
        </is>
      </c>
      <c r="E21" s="2" t="n"/>
      <c r="F21" s="2" t="n"/>
      <c r="G21" s="2" t="n"/>
      <c r="H21" s="2" t="n"/>
    </row>
    <row r="22" ht="24" customHeight="1">
      <c r="A22" s="4" t="inlineStr">
        <is>
          <t>Prąd orientacyjny 3F cosφ=1</t>
        </is>
      </c>
      <c r="B22" s="4">
        <f>ROUND(13000/(SQRT(3)*400),1)</f>
        <v/>
      </c>
      <c r="C22" s="4" t="inlineStr">
        <is>
          <t>A/faza</t>
        </is>
      </c>
      <c r="D22" s="4" t="inlineStr">
        <is>
          <t>ok. 18,8 A</t>
        </is>
      </c>
      <c r="E22" s="2" t="n"/>
      <c r="F22" s="2" t="n"/>
      <c r="G22" s="2" t="n"/>
      <c r="H22" s="2" t="n"/>
    </row>
    <row r="23" ht="24" customHeight="1">
      <c r="A23" s="4" t="inlineStr">
        <is>
          <t>Prąd orientacyjny 3F cosφ=0,8</t>
        </is>
      </c>
      <c r="B23" s="4">
        <f>ROUND(13000/(SQRT(3)*400*0.8),1)</f>
        <v/>
      </c>
      <c r="C23" s="4" t="inlineStr">
        <is>
          <t>A/faza</t>
        </is>
      </c>
      <c r="D23" s="4" t="inlineStr">
        <is>
          <t>ok. 23,5 A</t>
        </is>
      </c>
      <c r="E23" s="2" t="n"/>
      <c r="F23" s="2" t="n"/>
      <c r="G23" s="2" t="n"/>
      <c r="H23" s="2" t="n"/>
    </row>
  </sheetData>
  <mergeCells count="2">
    <mergeCell ref="A11:D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4" customWidth="1" min="3" max="3"/>
    <col width="72" customWidth="1" min="4" max="4"/>
    <col width="10" customWidth="1" min="5" max="5"/>
    <col width="10" customWidth="1" min="6" max="6"/>
    <col width="10" customWidth="1" min="7" max="7"/>
    <col width="42" customWidth="1" min="8" max="8"/>
  </cols>
  <sheetData>
    <row r="1" ht="32" customHeight="1">
      <c r="A1" s="1" t="inlineStr">
        <is>
          <t>Checklisty bezpieczeństwa i gotowości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5" t="inlineStr">
        <is>
          <t>Etap</t>
        </is>
      </c>
      <c r="B2" s="5" t="inlineStr">
        <is>
          <t>Nr</t>
        </is>
      </c>
      <c r="C2" s="5" t="inlineStr">
        <is>
          <t>Kontrola</t>
        </is>
      </c>
      <c r="D2" s="5" t="inlineStr">
        <is>
          <t>Wymaganie / sposób sprawdzenia</t>
        </is>
      </c>
      <c r="E2" s="5" t="inlineStr">
        <is>
          <t>OK</t>
        </is>
      </c>
      <c r="F2" s="5" t="inlineStr">
        <is>
          <t>NOK</t>
        </is>
      </c>
      <c r="G2" s="5" t="inlineStr">
        <is>
          <t>N/D</t>
        </is>
      </c>
      <c r="H2" s="5" t="inlineStr">
        <is>
          <t>Uwagi / dowód</t>
        </is>
      </c>
    </row>
    <row r="3" ht="24" customHeight="1">
      <c r="A3" s="4" t="inlineStr">
        <is>
          <t>Przed startem</t>
        </is>
      </c>
      <c r="B3" s="4" t="n">
        <v>1</v>
      </c>
      <c r="C3" s="4" t="inlineStr">
        <is>
          <t>Dokumentacja</t>
        </is>
      </c>
      <c r="D3" s="4" t="inlineStr">
        <is>
          <t>DTR, schemat, BOM, nastawy falownika/BMS/agregatu dostępne na stanowisku</t>
        </is>
      </c>
      <c r="E3" s="4" t="n"/>
      <c r="F3" s="4" t="n"/>
      <c r="G3" s="4" t="n"/>
      <c r="H3" s="4" t="n"/>
    </row>
    <row r="4" ht="24" customHeight="1">
      <c r="A4" s="4" t="inlineStr">
        <is>
          <t>Przed startem</t>
        </is>
      </c>
      <c r="B4" s="4" t="n">
        <v>2</v>
      </c>
      <c r="C4" s="4" t="inlineStr">
        <is>
          <t>Identyfikacja</t>
        </is>
      </c>
      <c r="D4" s="4" t="inlineStr">
        <is>
          <t>SN urządzenia, falownika, BESS, agregatu i firmware wpisane w metryczkę</t>
        </is>
      </c>
      <c r="E4" s="4" t="n"/>
      <c r="F4" s="4" t="n"/>
      <c r="G4" s="4" t="n"/>
      <c r="H4" s="4" t="n"/>
    </row>
    <row r="5" ht="24" customHeight="1">
      <c r="A5" s="4" t="inlineStr">
        <is>
          <t>Przed startem</t>
        </is>
      </c>
      <c r="B5" s="4" t="n">
        <v>3</v>
      </c>
      <c r="C5" s="4" t="inlineStr">
        <is>
          <t>PE/uziemienie</t>
        </is>
      </c>
      <c r="D5" s="4" t="inlineStr">
        <is>
          <t>Ciągłość PE i ochrona przeciwporażeniowa sprawdzona wg procedury</t>
        </is>
      </c>
      <c r="E5" s="4" t="n"/>
      <c r="F5" s="4" t="n"/>
      <c r="G5" s="4" t="n"/>
      <c r="H5" s="4" t="n"/>
    </row>
    <row r="6" ht="24" customHeight="1">
      <c r="A6" s="4" t="inlineStr">
        <is>
          <t>Przed startem</t>
        </is>
      </c>
      <c r="B6" s="4" t="n">
        <v>4</v>
      </c>
      <c r="C6" s="4" t="inlineStr">
        <is>
          <t>Okablowanie</t>
        </is>
      </c>
      <c r="D6" s="4" t="inlineStr">
        <is>
          <t>Przekroje, izolacja, wtyki, brak zwiniętych przewodów pod obciążeniem</t>
        </is>
      </c>
      <c r="E6" s="4" t="n"/>
      <c r="F6" s="4" t="n"/>
      <c r="G6" s="4" t="n"/>
      <c r="H6" s="4" t="n"/>
    </row>
    <row r="7" ht="24" customHeight="1">
      <c r="A7" s="4" t="inlineStr">
        <is>
          <t>Przed startem</t>
        </is>
      </c>
      <c r="B7" s="4" t="n">
        <v>5</v>
      </c>
      <c r="C7" s="4" t="inlineStr">
        <is>
          <t>Obciążnica</t>
        </is>
      </c>
      <c r="D7" s="4" t="inlineStr">
        <is>
          <t>Wentylacja, wyrzut gorącego powietrza, stabilne ustawienie, brak uszkodzeń</t>
        </is>
      </c>
      <c r="E7" s="4" t="n"/>
      <c r="F7" s="4" t="n"/>
      <c r="G7" s="4" t="n"/>
      <c r="H7" s="4" t="n"/>
    </row>
    <row r="8" ht="24" customHeight="1">
      <c r="A8" s="4" t="inlineStr">
        <is>
          <t>Przed startem</t>
        </is>
      </c>
      <c r="B8" s="4" t="n">
        <v>6</v>
      </c>
      <c r="C8" s="4" t="inlineStr">
        <is>
          <t>Agregat</t>
        </is>
      </c>
      <c r="D8" s="4" t="inlineStr">
        <is>
          <t>Paliwo, olej, brak wycieków, odprowadzenie spalin, dostępny E-STOP</t>
        </is>
      </c>
      <c r="E8" s="4" t="n"/>
      <c r="F8" s="4" t="n"/>
      <c r="G8" s="4" t="n"/>
      <c r="H8" s="4" t="n"/>
    </row>
    <row r="9" ht="24" customHeight="1">
      <c r="A9" s="4" t="inlineStr">
        <is>
          <t>Przed startem</t>
        </is>
      </c>
      <c r="B9" s="4" t="n">
        <v>7</v>
      </c>
      <c r="C9" s="4" t="inlineStr">
        <is>
          <t>BESS/BMS</t>
        </is>
      </c>
      <c r="D9" s="4" t="inlineStr">
        <is>
          <t>SOC startowy, temperatury, komunikacja, brak alarmów aktywnych</t>
        </is>
      </c>
      <c r="E9" s="4" t="n"/>
      <c r="F9" s="4" t="n"/>
      <c r="G9" s="4" t="n"/>
      <c r="H9" s="4" t="n"/>
    </row>
    <row r="10" ht="24" customHeight="1">
      <c r="A10" s="4" t="inlineStr">
        <is>
          <t>W trakcie</t>
        </is>
      </c>
      <c r="B10" s="4" t="n">
        <v>8</v>
      </c>
      <c r="C10" s="4" t="inlineStr">
        <is>
          <t>Rejestrator</t>
        </is>
      </c>
      <c r="D10" s="4" t="inlineStr">
        <is>
          <t>Analizator/logi zapisują U/I/P/Hz/SOC/PV/agregat/alarmy</t>
        </is>
      </c>
      <c r="E10" s="4" t="n"/>
      <c r="F10" s="4" t="n"/>
      <c r="G10" s="4" t="n"/>
      <c r="H10" s="4" t="n"/>
    </row>
    <row r="11" ht="24" customHeight="1">
      <c r="A11" s="4" t="inlineStr">
        <is>
          <t>W trakcie</t>
        </is>
      </c>
      <c r="B11" s="4" t="n">
        <v>9</v>
      </c>
      <c r="C11" s="4" t="inlineStr">
        <is>
          <t>Termika</t>
        </is>
      </c>
      <c r="D11" s="4" t="inlineStr">
        <is>
          <t>Kontrola falownika, BESS, komory agregatu, spalin i przewodów</t>
        </is>
      </c>
      <c r="E11" s="4" t="n"/>
      <c r="F11" s="4" t="n"/>
      <c r="G11" s="4" t="n"/>
      <c r="H11" s="4" t="n"/>
    </row>
    <row r="12" ht="24" customHeight="1">
      <c r="A12" s="4" t="inlineStr">
        <is>
          <t>W trakcie</t>
        </is>
      </c>
      <c r="B12" s="4" t="n">
        <v>10</v>
      </c>
      <c r="C12" s="4" t="inlineStr">
        <is>
          <t>Granice mocy</t>
        </is>
      </c>
      <c r="D12" s="4" t="inlineStr">
        <is>
          <t>Nie przekraczać 13 kW sumarycznie bez decyzji konstruktora</t>
        </is>
      </c>
      <c r="E12" s="4" t="n"/>
      <c r="F12" s="4" t="n"/>
      <c r="G12" s="4" t="n"/>
      <c r="H12" s="4" t="n"/>
    </row>
    <row r="13" ht="24" customHeight="1">
      <c r="A13" s="4" t="inlineStr">
        <is>
          <t>Po teście</t>
        </is>
      </c>
      <c r="B13" s="4" t="n">
        <v>11</v>
      </c>
      <c r="C13" s="4" t="inlineStr">
        <is>
          <t>Wyłączenie</t>
        </is>
      </c>
      <c r="D13" s="4" t="inlineStr">
        <is>
          <t>Bezpieczne odłączenie obciążnicy, schłodzenie, zapis logów i zdjęć</t>
        </is>
      </c>
      <c r="E13" s="4" t="n"/>
      <c r="F13" s="4" t="n"/>
      <c r="G13" s="4" t="n"/>
      <c r="H13" s="4" t="n"/>
    </row>
  </sheetData>
  <autoFilter ref="A2:H13"/>
  <mergeCells count="1">
    <mergeCell ref="A1:H1"/>
  </mergeCells>
  <dataValidations count="1">
    <dataValidation sqref="E3:G40" showDropDown="0" showInputMessage="0" showErrorMessage="0" allowBlank="1" type="list">
      <formula1>"OK,NOK,N/D"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26" customWidth="1" min="5" max="5"/>
    <col width="34" customWidth="1" min="6" max="6"/>
    <col width="58" customWidth="1" min="7" max="7"/>
    <col width="12" customWidth="1" min="8" max="8"/>
    <col width="14" customWidth="1" min="9" max="9"/>
    <col width="14" customWidth="1" min="10" max="10"/>
    <col width="16" customWidth="1" min="11" max="11"/>
    <col width="32" customWidth="1" min="12" max="12"/>
  </cols>
  <sheetData>
    <row r="1" ht="32" customHeight="1">
      <c r="A1" s="1" t="inlineStr">
        <is>
          <t>Dobowy profil obciążenia i zdarzeń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5" t="inlineStr">
        <is>
          <t>Godzina doby</t>
        </is>
      </c>
      <c r="B2" s="5" t="inlineStr">
        <is>
          <t>Przedział</t>
        </is>
      </c>
      <c r="C2" s="5" t="inlineStr">
        <is>
          <t>Obciążenie planowane [kW]</t>
        </is>
      </c>
      <c r="D2" s="5" t="inlineStr">
        <is>
          <t>Obciążenie [% 13 kW]</t>
        </is>
      </c>
      <c r="E2" s="5" t="inlineStr">
        <is>
          <t>Tryb oczekiwany</t>
        </is>
      </c>
      <c r="F2" s="5" t="inlineStr">
        <is>
          <t>Obsługa człowieka</t>
        </is>
      </c>
      <c r="G2" s="5" t="inlineStr">
        <is>
          <t>Zdarzenie testowe</t>
        </is>
      </c>
      <c r="H2" s="5" t="inlineStr">
        <is>
          <t>Pik [kW]</t>
        </is>
      </c>
      <c r="I2" s="5" t="inlineStr">
        <is>
          <t>Czas piku [min]</t>
        </is>
      </c>
      <c r="J2" s="5" t="inlineStr">
        <is>
          <t>PV oczek. [kW]</t>
        </is>
      </c>
      <c r="K2" s="5" t="inlineStr">
        <is>
          <t>Agregat oczek.</t>
        </is>
      </c>
      <c r="L2" s="5" t="inlineStr">
        <is>
          <t>Uwagi</t>
        </is>
      </c>
    </row>
    <row r="3" ht="24" customHeight="1">
      <c r="A3" s="7" t="n">
        <v>0</v>
      </c>
      <c r="B3" s="7" t="inlineStr">
        <is>
          <t>00:00-01:00</t>
        </is>
      </c>
      <c r="C3" s="7" t="n">
        <v>2</v>
      </c>
      <c r="D3" s="8">
        <f>C3/13</f>
        <v/>
      </c>
      <c r="E3" s="7" t="inlineStr">
        <is>
          <t>BESS / tryb cichy</t>
        </is>
      </c>
      <c r="F3" s="7" t="inlineStr">
        <is>
          <t>automatyczny zapis danych; bez obsługi nocnej</t>
        </is>
      </c>
      <c r="G3" s="7" t="inlineStr"/>
      <c r="H3" s="7" t="inlineStr"/>
      <c r="I3" s="7" t="inlineStr"/>
      <c r="J3" s="7" t="n">
        <v>0</v>
      </c>
      <c r="K3" s="7" t="inlineStr">
        <is>
          <t>OFF / standby</t>
        </is>
      </c>
      <c r="L3" s="7" t="inlineStr"/>
    </row>
    <row r="4" ht="24" customHeight="1">
      <c r="A4" s="7" t="n">
        <v>1</v>
      </c>
      <c r="B4" s="7" t="inlineStr">
        <is>
          <t>01:00-02:00</t>
        </is>
      </c>
      <c r="C4" s="7" t="n">
        <v>1</v>
      </c>
      <c r="D4" s="8">
        <f>C4/13</f>
        <v/>
      </c>
      <c r="E4" s="7" t="inlineStr">
        <is>
          <t>BESS / tryb cichy</t>
        </is>
      </c>
      <c r="F4" s="7" t="inlineStr">
        <is>
          <t>automatyczny zapis danych; bez obsługi nocnej</t>
        </is>
      </c>
      <c r="G4" s="7" t="inlineStr"/>
      <c r="H4" s="7" t="inlineStr"/>
      <c r="I4" s="7" t="inlineStr"/>
      <c r="J4" s="7" t="n">
        <v>0</v>
      </c>
      <c r="K4" s="7" t="inlineStr">
        <is>
          <t>OFF / standby</t>
        </is>
      </c>
      <c r="L4" s="7" t="inlineStr"/>
    </row>
    <row r="5" ht="24" customHeight="1">
      <c r="A5" s="7" t="n">
        <v>2</v>
      </c>
      <c r="B5" s="7" t="inlineStr">
        <is>
          <t>02:00-03:00</t>
        </is>
      </c>
      <c r="C5" s="7" t="n">
        <v>1</v>
      </c>
      <c r="D5" s="8">
        <f>C5/13</f>
        <v/>
      </c>
      <c r="E5" s="7" t="inlineStr">
        <is>
          <t>BESS / tryb cichy</t>
        </is>
      </c>
      <c r="F5" s="7" t="inlineStr">
        <is>
          <t>automatyczny zapis danych; bez obsługi nocnej</t>
        </is>
      </c>
      <c r="G5" s="7" t="inlineStr"/>
      <c r="H5" s="7" t="inlineStr"/>
      <c r="I5" s="7" t="inlineStr"/>
      <c r="J5" s="7" t="n">
        <v>0</v>
      </c>
      <c r="K5" s="7" t="inlineStr">
        <is>
          <t>OFF / standby</t>
        </is>
      </c>
      <c r="L5" s="7" t="inlineStr"/>
    </row>
    <row r="6" ht="24" customHeight="1">
      <c r="A6" s="7" t="n">
        <v>3</v>
      </c>
      <c r="B6" s="7" t="inlineStr">
        <is>
          <t>03:00-04:00</t>
        </is>
      </c>
      <c r="C6" s="7" t="n">
        <v>1</v>
      </c>
      <c r="D6" s="8">
        <f>C6/13</f>
        <v/>
      </c>
      <c r="E6" s="7" t="inlineStr">
        <is>
          <t>BESS / tryb cichy</t>
        </is>
      </c>
      <c r="F6" s="7" t="inlineStr">
        <is>
          <t>automatyczny zapis danych; bez obsługi nocnej</t>
        </is>
      </c>
      <c r="G6" s="7" t="inlineStr"/>
      <c r="H6" s="7" t="inlineStr"/>
      <c r="I6" s="7" t="inlineStr"/>
      <c r="J6" s="7" t="n">
        <v>0</v>
      </c>
      <c r="K6" s="7" t="inlineStr">
        <is>
          <t>OFF / standby</t>
        </is>
      </c>
      <c r="L6" s="7" t="inlineStr"/>
    </row>
    <row r="7" ht="24" customHeight="1">
      <c r="A7" s="7" t="n">
        <v>4</v>
      </c>
      <c r="B7" s="7" t="inlineStr">
        <is>
          <t>04:00-05:00</t>
        </is>
      </c>
      <c r="C7" s="7" t="n">
        <v>1</v>
      </c>
      <c r="D7" s="8">
        <f>C7/13</f>
        <v/>
      </c>
      <c r="E7" s="7" t="inlineStr">
        <is>
          <t>BESS / tryb cichy</t>
        </is>
      </c>
      <c r="F7" s="7" t="inlineStr">
        <is>
          <t>automatyczny zapis danych; bez obsługi nocnej</t>
        </is>
      </c>
      <c r="G7" s="7" t="inlineStr"/>
      <c r="H7" s="7" t="inlineStr"/>
      <c r="I7" s="7" t="inlineStr"/>
      <c r="J7" s="7" t="n">
        <v>0</v>
      </c>
      <c r="K7" s="7" t="inlineStr">
        <is>
          <t>OFF / standby</t>
        </is>
      </c>
      <c r="L7" s="7" t="inlineStr"/>
    </row>
    <row r="8" ht="24" customHeight="1">
      <c r="A8" s="7" t="n">
        <v>5</v>
      </c>
      <c r="B8" s="7" t="inlineStr">
        <is>
          <t>05:00-06:00</t>
        </is>
      </c>
      <c r="C8" s="7" t="n">
        <v>1</v>
      </c>
      <c r="D8" s="8">
        <f>C8/13</f>
        <v/>
      </c>
      <c r="E8" s="7" t="inlineStr">
        <is>
          <t>BESS / tryb cichy</t>
        </is>
      </c>
      <c r="F8" s="7" t="inlineStr">
        <is>
          <t>automatyczny zapis danych; bez obsługi nocnej</t>
        </is>
      </c>
      <c r="G8" s="7" t="inlineStr"/>
      <c r="H8" s="7" t="inlineStr"/>
      <c r="I8" s="7" t="inlineStr"/>
      <c r="J8" s="7" t="n">
        <v>0</v>
      </c>
      <c r="K8" s="7" t="inlineStr">
        <is>
          <t>OFF / standby</t>
        </is>
      </c>
      <c r="L8" s="7" t="inlineStr"/>
    </row>
    <row r="9" ht="24" customHeight="1">
      <c r="A9" s="7" t="n">
        <v>6</v>
      </c>
      <c r="B9" s="7" t="inlineStr">
        <is>
          <t>06:00-07:00</t>
        </is>
      </c>
      <c r="C9" s="7" t="n">
        <v>1</v>
      </c>
      <c r="D9" s="8">
        <f>C9/13</f>
        <v/>
      </c>
      <c r="E9" s="7" t="inlineStr">
        <is>
          <t>przejście / stabilizacja</t>
        </is>
      </c>
      <c r="F9" s="7" t="inlineStr">
        <is>
          <t>automatyczny zapis danych; bez obsługi nocnej</t>
        </is>
      </c>
      <c r="G9" s="7" t="inlineStr"/>
      <c r="H9" s="7" t="inlineStr"/>
      <c r="I9" s="7" t="inlineStr"/>
      <c r="J9" s="7" t="n">
        <v>0</v>
      </c>
      <c r="K9" s="7" t="inlineStr">
        <is>
          <t>OFF / standby</t>
        </is>
      </c>
      <c r="L9" s="7" t="inlineStr"/>
    </row>
    <row r="10" ht="24" customHeight="1">
      <c r="A10" s="9" t="n">
        <v>7</v>
      </c>
      <c r="B10" s="9" t="inlineStr">
        <is>
          <t>07:00-08:00</t>
        </is>
      </c>
      <c r="C10" s="9" t="n">
        <v>4</v>
      </c>
      <c r="D10" s="10">
        <f>C10/13</f>
        <v/>
      </c>
      <c r="E10" s="9" t="inlineStr">
        <is>
          <t>przejście / stabilizacja</t>
        </is>
      </c>
      <c r="F10" s="9" t="inlineStr">
        <is>
          <t>obsługa dzienna / ręczny nadzór</t>
        </is>
      </c>
      <c r="G10" s="9" t="inlineStr">
        <is>
          <t>kontrola poranna, cold start, sprawdzenie logów nocnych</t>
        </is>
      </c>
      <c r="H10" s="9" t="inlineStr"/>
      <c r="I10" s="9" t="inlineStr"/>
      <c r="J10" s="9" t="n">
        <v>0</v>
      </c>
      <c r="K10" s="9" t="inlineStr">
        <is>
          <t>OFF / standby</t>
        </is>
      </c>
      <c r="L10" s="9" t="inlineStr"/>
    </row>
    <row r="11" ht="24" customHeight="1">
      <c r="A11" s="4" t="n">
        <v>8</v>
      </c>
      <c r="B11" s="4" t="inlineStr">
        <is>
          <t>08:00-09:00</t>
        </is>
      </c>
      <c r="C11" s="4" t="n">
        <v>4</v>
      </c>
      <c r="D11" s="11">
        <f>C11/13</f>
        <v/>
      </c>
      <c r="E11" s="4" t="inlineStr">
        <is>
          <t>PV + BESS / falownik</t>
        </is>
      </c>
      <c r="F11" s="4" t="inlineStr">
        <is>
          <t>obsługa dzienna / ręczny nadzór</t>
        </is>
      </c>
      <c r="G11" s="4" t="inlineStr"/>
      <c r="H11" s="4" t="inlineStr"/>
      <c r="I11" s="4" t="inlineStr"/>
      <c r="J11" s="4" t="n">
        <v>0</v>
      </c>
      <c r="K11" s="4" t="inlineStr">
        <is>
          <t>OFF / standby</t>
        </is>
      </c>
      <c r="L11" s="4" t="inlineStr"/>
    </row>
    <row r="12" ht="24" customHeight="1">
      <c r="A12" s="9" t="n">
        <v>9</v>
      </c>
      <c r="B12" s="9" t="inlineStr">
        <is>
          <t>09:00-10:00</t>
        </is>
      </c>
      <c r="C12" s="9" t="n">
        <v>4</v>
      </c>
      <c r="D12" s="10">
        <f>C12/13</f>
        <v/>
      </c>
      <c r="E12" s="9" t="inlineStr">
        <is>
          <t>PV + BESS / falownik</t>
        </is>
      </c>
      <c r="F12" s="9" t="inlineStr">
        <is>
          <t>obsługa dzienna / ręczny nadzór</t>
        </is>
      </c>
      <c r="G12" s="9" t="inlineStr">
        <is>
          <t>pik 13 kW przez 3 min; zapis U/I/Hz/SOC przed-w trakcie-po</t>
        </is>
      </c>
      <c r="H12" s="9" t="n">
        <v>13</v>
      </c>
      <c r="I12" s="9" t="n">
        <v>3</v>
      </c>
      <c r="J12" s="9" t="n">
        <v>1.5</v>
      </c>
      <c r="K12" s="9" t="inlineStr">
        <is>
          <t>OFF / standby</t>
        </is>
      </c>
      <c r="L12" s="9" t="inlineStr"/>
    </row>
    <row r="13" ht="24" customHeight="1">
      <c r="A13" s="4" t="n">
        <v>10</v>
      </c>
      <c r="B13" s="4" t="inlineStr">
        <is>
          <t>10:00-11:00</t>
        </is>
      </c>
      <c r="C13" s="4" t="n">
        <v>2</v>
      </c>
      <c r="D13" s="11">
        <f>C13/13</f>
        <v/>
      </c>
      <c r="E13" s="4" t="inlineStr">
        <is>
          <t>PV + BESS / falownik</t>
        </is>
      </c>
      <c r="F13" s="4" t="inlineStr">
        <is>
          <t>obsługa dzienna / ręczny nadzór</t>
        </is>
      </c>
      <c r="G13" s="4" t="inlineStr"/>
      <c r="H13" s="4" t="inlineStr"/>
      <c r="I13" s="4" t="inlineStr"/>
      <c r="J13" s="4" t="n">
        <v>1.5</v>
      </c>
      <c r="K13" s="4" t="inlineStr">
        <is>
          <t>OFF / standby</t>
        </is>
      </c>
      <c r="L13" s="4" t="inlineStr"/>
    </row>
    <row r="14" ht="24" customHeight="1">
      <c r="A14" s="9" t="n">
        <v>11</v>
      </c>
      <c r="B14" s="9" t="inlineStr">
        <is>
          <t>11:00-12:00</t>
        </is>
      </c>
      <c r="C14" s="9" t="n">
        <v>2</v>
      </c>
      <c r="D14" s="10">
        <f>C14/13</f>
        <v/>
      </c>
      <c r="E14" s="9" t="inlineStr">
        <is>
          <t>PV + BESS / falownik</t>
        </is>
      </c>
      <c r="F14" s="9" t="inlineStr">
        <is>
          <t>obsługa dzienna / ręczny nadzór</t>
        </is>
      </c>
      <c r="G14" s="9" t="inlineStr">
        <is>
          <t>test priorytetu PV/BESS; obserwacja ładowania</t>
        </is>
      </c>
      <c r="H14" s="9" t="inlineStr"/>
      <c r="I14" s="9" t="inlineStr"/>
      <c r="J14" s="9" t="n">
        <v>1.5</v>
      </c>
      <c r="K14" s="9" t="inlineStr">
        <is>
          <t>OFF / standby</t>
        </is>
      </c>
      <c r="L14" s="9" t="inlineStr"/>
    </row>
    <row r="15" ht="24" customHeight="1">
      <c r="A15" s="4" t="n">
        <v>12</v>
      </c>
      <c r="B15" s="4" t="inlineStr">
        <is>
          <t>12:00-13:00</t>
        </is>
      </c>
      <c r="C15" s="4" t="n">
        <v>2</v>
      </c>
      <c r="D15" s="11">
        <f>C15/13</f>
        <v/>
      </c>
      <c r="E15" s="4" t="inlineStr">
        <is>
          <t>PV + BESS / falownik</t>
        </is>
      </c>
      <c r="F15" s="4" t="inlineStr">
        <is>
          <t>obsługa dzienna / ręczny nadzór</t>
        </is>
      </c>
      <c r="G15" s="4" t="inlineStr"/>
      <c r="H15" s="4" t="inlineStr"/>
      <c r="I15" s="4" t="inlineStr"/>
      <c r="J15" s="4" t="n">
        <v>1.5</v>
      </c>
      <c r="K15" s="4" t="inlineStr">
        <is>
          <t>OFF / standby</t>
        </is>
      </c>
      <c r="L15" s="4" t="inlineStr"/>
    </row>
    <row r="16" ht="24" customHeight="1">
      <c r="A16" s="4" t="n">
        <v>13</v>
      </c>
      <c r="B16" s="4" t="inlineStr">
        <is>
          <t>13:00-14:00</t>
        </is>
      </c>
      <c r="C16" s="4" t="n">
        <v>2</v>
      </c>
      <c r="D16" s="11">
        <f>C16/13</f>
        <v/>
      </c>
      <c r="E16" s="4" t="inlineStr">
        <is>
          <t>PV + BESS / falownik</t>
        </is>
      </c>
      <c r="F16" s="4" t="inlineStr">
        <is>
          <t>obsługa dzienna / ręczny nadzór</t>
        </is>
      </c>
      <c r="G16" s="4" t="inlineStr"/>
      <c r="H16" s="4" t="inlineStr"/>
      <c r="I16" s="4" t="inlineStr"/>
      <c r="J16" s="4" t="n">
        <v>1.5</v>
      </c>
      <c r="K16" s="4" t="inlineStr">
        <is>
          <t>OFF / standby</t>
        </is>
      </c>
      <c r="L16" s="4" t="inlineStr"/>
    </row>
    <row r="17" ht="24" customHeight="1">
      <c r="A17" s="9" t="n">
        <v>14</v>
      </c>
      <c r="B17" s="9" t="inlineStr">
        <is>
          <t>14:00-15:00</t>
        </is>
      </c>
      <c r="C17" s="9" t="n">
        <v>4</v>
      </c>
      <c r="D17" s="10">
        <f>C17/13</f>
        <v/>
      </c>
      <c r="E17" s="9" t="inlineStr">
        <is>
          <t>PV + BESS / falownik</t>
        </is>
      </c>
      <c r="F17" s="9" t="inlineStr">
        <is>
          <t>obsługa dzienna / ręczny nadzór</t>
        </is>
      </c>
      <c r="G17" s="9" t="inlineStr">
        <is>
          <t>test asymetrii faz L1/L2/L3 bez przekroczeń limitu</t>
        </is>
      </c>
      <c r="H17" s="9" t="inlineStr"/>
      <c r="I17" s="9" t="inlineStr"/>
      <c r="J17" s="9" t="n">
        <v>1.5</v>
      </c>
      <c r="K17" s="9" t="inlineStr">
        <is>
          <t>OFF / standby</t>
        </is>
      </c>
      <c r="L17" s="9" t="inlineStr"/>
    </row>
    <row r="18" ht="24" customHeight="1">
      <c r="A18" s="4" t="n">
        <v>15</v>
      </c>
      <c r="B18" s="4" t="inlineStr">
        <is>
          <t>15:00-16:00</t>
        </is>
      </c>
      <c r="C18" s="4" t="n">
        <v>4</v>
      </c>
      <c r="D18" s="11">
        <f>C18/13</f>
        <v/>
      </c>
      <c r="E18" s="4" t="inlineStr">
        <is>
          <t>PV + BESS / falownik</t>
        </is>
      </c>
      <c r="F18" s="4" t="inlineStr">
        <is>
          <t>obsługa dzienna / ręczny nadzór</t>
        </is>
      </c>
      <c r="G18" s="4" t="inlineStr"/>
      <c r="H18" s="4" t="inlineStr"/>
      <c r="I18" s="4" t="inlineStr"/>
      <c r="J18" s="4" t="n">
        <v>1.5</v>
      </c>
      <c r="K18" s="4" t="inlineStr">
        <is>
          <t>OFF / standby</t>
        </is>
      </c>
      <c r="L18" s="4" t="inlineStr"/>
    </row>
    <row r="19" ht="24" customHeight="1">
      <c r="A19" s="9" t="n">
        <v>16</v>
      </c>
      <c r="B19" s="9" t="inlineStr">
        <is>
          <t>16:00-17:00</t>
        </is>
      </c>
      <c r="C19" s="9" t="n">
        <v>3</v>
      </c>
      <c r="D19" s="10">
        <f>C19/13</f>
        <v/>
      </c>
      <c r="E19" s="9" t="inlineStr">
        <is>
          <t>BESS + ewentualny agregat</t>
        </is>
      </c>
      <c r="F19" s="9" t="inlineStr">
        <is>
          <t>obsługa dzienna / ręczny nadzór</t>
        </is>
      </c>
      <c r="G19" s="9" t="inlineStr">
        <is>
          <t>symulacja niskiego SOC; start agregatu i ładowanie BESS</t>
        </is>
      </c>
      <c r="H19" s="9" t="inlineStr"/>
      <c r="I19" s="9" t="inlineStr"/>
      <c r="J19" s="9" t="n">
        <v>0</v>
      </c>
      <c r="K19" s="9" t="inlineStr">
        <is>
          <t>ON testowo</t>
        </is>
      </c>
      <c r="L19" s="9" t="inlineStr"/>
    </row>
    <row r="20" ht="24" customHeight="1">
      <c r="A20" s="4" t="n">
        <v>17</v>
      </c>
      <c r="B20" s="4" t="inlineStr">
        <is>
          <t>17:00-18:00</t>
        </is>
      </c>
      <c r="C20" s="4" t="n">
        <v>3</v>
      </c>
      <c r="D20" s="11">
        <f>C20/13</f>
        <v/>
      </c>
      <c r="E20" s="4" t="inlineStr">
        <is>
          <t>BESS + ewentualny agregat</t>
        </is>
      </c>
      <c r="F20" s="4" t="inlineStr">
        <is>
          <t>obsługa dzienna / ręczny nadzór</t>
        </is>
      </c>
      <c r="G20" s="4" t="inlineStr"/>
      <c r="H20" s="4" t="inlineStr"/>
      <c r="I20" s="4" t="inlineStr"/>
      <c r="J20" s="4" t="n">
        <v>0</v>
      </c>
      <c r="K20" s="4" t="inlineStr">
        <is>
          <t>wg SOC</t>
        </is>
      </c>
      <c r="L20" s="4" t="inlineStr"/>
    </row>
    <row r="21" ht="24" customHeight="1">
      <c r="A21" s="9" t="n">
        <v>18</v>
      </c>
      <c r="B21" s="9" t="inlineStr">
        <is>
          <t>18:00-19:00</t>
        </is>
      </c>
      <c r="C21" s="9" t="n">
        <v>3</v>
      </c>
      <c r="D21" s="10">
        <f>C21/13</f>
        <v/>
      </c>
      <c r="E21" s="9" t="inlineStr">
        <is>
          <t>BESS + ewentualny agregat</t>
        </is>
      </c>
      <c r="F21" s="9" t="inlineStr">
        <is>
          <t>obsługa dzienna / ręczny nadzór</t>
        </is>
      </c>
      <c r="G21" s="9" t="inlineStr">
        <is>
          <t>E-STOP, restart kontrolowany, potwierdzenie braku samoczynnego startu</t>
        </is>
      </c>
      <c r="H21" s="9" t="inlineStr"/>
      <c r="I21" s="9" t="inlineStr"/>
      <c r="J21" s="9" t="n">
        <v>0</v>
      </c>
      <c r="K21" s="9" t="inlineStr">
        <is>
          <t>wg SOC</t>
        </is>
      </c>
      <c r="L21" s="9" t="inlineStr"/>
    </row>
    <row r="22" ht="24" customHeight="1">
      <c r="A22" s="4" t="n">
        <v>19</v>
      </c>
      <c r="B22" s="4" t="inlineStr">
        <is>
          <t>19:00-20:00</t>
        </is>
      </c>
      <c r="C22" s="4" t="n">
        <v>3</v>
      </c>
      <c r="D22" s="11">
        <f>C22/13</f>
        <v/>
      </c>
      <c r="E22" s="4" t="inlineStr">
        <is>
          <t>przejście / stabilizacja</t>
        </is>
      </c>
      <c r="F22" s="4" t="inlineStr">
        <is>
          <t>obsługa dzienna / ręczny nadzór</t>
        </is>
      </c>
      <c r="G22" s="4" t="inlineStr"/>
      <c r="H22" s="4" t="inlineStr"/>
      <c r="I22" s="4" t="inlineStr"/>
      <c r="J22" s="4" t="n">
        <v>0</v>
      </c>
      <c r="K22" s="4" t="inlineStr">
        <is>
          <t>OFF / standby</t>
        </is>
      </c>
      <c r="L22" s="4" t="inlineStr"/>
    </row>
    <row r="23" ht="24" customHeight="1">
      <c r="A23" s="7" t="n">
        <v>20</v>
      </c>
      <c r="B23" s="7" t="inlineStr">
        <is>
          <t>20:00-21:00</t>
        </is>
      </c>
      <c r="C23" s="7" t="n">
        <v>2</v>
      </c>
      <c r="D23" s="8">
        <f>C23/13</f>
        <v/>
      </c>
      <c r="E23" s="7" t="inlineStr">
        <is>
          <t>BESS / tryb cichy</t>
        </is>
      </c>
      <c r="F23" s="7" t="inlineStr">
        <is>
          <t>automatyczny zapis danych; bez obsługi nocnej</t>
        </is>
      </c>
      <c r="G23" s="7" t="inlineStr"/>
      <c r="H23" s="7" t="inlineStr"/>
      <c r="I23" s="7" t="inlineStr"/>
      <c r="J23" s="7" t="n">
        <v>0</v>
      </c>
      <c r="K23" s="7" t="inlineStr">
        <is>
          <t>OFF / standby</t>
        </is>
      </c>
      <c r="L23" s="7" t="inlineStr"/>
    </row>
    <row r="24" ht="24" customHeight="1">
      <c r="A24" s="7" t="n">
        <v>21</v>
      </c>
      <c r="B24" s="7" t="inlineStr">
        <is>
          <t>21:00-22:00</t>
        </is>
      </c>
      <c r="C24" s="7" t="n">
        <v>2</v>
      </c>
      <c r="D24" s="8">
        <f>C24/13</f>
        <v/>
      </c>
      <c r="E24" s="7" t="inlineStr">
        <is>
          <t>BESS / tryb cichy</t>
        </is>
      </c>
      <c r="F24" s="7" t="inlineStr">
        <is>
          <t>automatyczny zapis danych; bez obsługi nocnej</t>
        </is>
      </c>
      <c r="G24" s="7" t="inlineStr"/>
      <c r="H24" s="7" t="inlineStr"/>
      <c r="I24" s="7" t="inlineStr"/>
      <c r="J24" s="7" t="n">
        <v>0</v>
      </c>
      <c r="K24" s="7" t="inlineStr">
        <is>
          <t>OFF / standby</t>
        </is>
      </c>
      <c r="L24" s="7" t="inlineStr"/>
    </row>
    <row r="25" ht="24" customHeight="1">
      <c r="A25" s="7" t="n">
        <v>22</v>
      </c>
      <c r="B25" s="7" t="inlineStr">
        <is>
          <t>22:00-23:00</t>
        </is>
      </c>
      <c r="C25" s="7" t="n">
        <v>2</v>
      </c>
      <c r="D25" s="8">
        <f>C25/13</f>
        <v/>
      </c>
      <c r="E25" s="7" t="inlineStr">
        <is>
          <t>BESS / tryb cichy</t>
        </is>
      </c>
      <c r="F25" s="7" t="inlineStr">
        <is>
          <t>automatyczny zapis danych; bez obsługi nocnej</t>
        </is>
      </c>
      <c r="G25" s="7" t="inlineStr"/>
      <c r="H25" s="7" t="inlineStr"/>
      <c r="I25" s="7" t="inlineStr"/>
      <c r="J25" s="7" t="n">
        <v>0</v>
      </c>
      <c r="K25" s="7" t="inlineStr">
        <is>
          <t>OFF / standby</t>
        </is>
      </c>
      <c r="L25" s="7" t="inlineStr"/>
    </row>
    <row r="26" ht="24" customHeight="1">
      <c r="A26" s="7" t="n">
        <v>23</v>
      </c>
      <c r="B26" s="7" t="inlineStr">
        <is>
          <t>23:00-00:00</t>
        </is>
      </c>
      <c r="C26" s="7" t="n">
        <v>2</v>
      </c>
      <c r="D26" s="8">
        <f>C26/13</f>
        <v/>
      </c>
      <c r="E26" s="7" t="inlineStr">
        <is>
          <t>BESS / tryb cichy</t>
        </is>
      </c>
      <c r="F26" s="7" t="inlineStr">
        <is>
          <t>automatyczny zapis danych; bez obsługi nocnej</t>
        </is>
      </c>
      <c r="G26" s="7" t="inlineStr"/>
      <c r="H26" s="7" t="inlineStr"/>
      <c r="I26" s="7" t="inlineStr"/>
      <c r="J26" s="7" t="n">
        <v>0</v>
      </c>
      <c r="K26" s="7" t="inlineStr">
        <is>
          <t>OFF / standby</t>
        </is>
      </c>
      <c r="L26" s="7" t="inlineStr"/>
    </row>
  </sheetData>
  <autoFilter ref="A2:L26"/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2" customWidth="1" min="23" max="23"/>
    <col width="14" customWidth="1" min="24" max="24"/>
    <col width="18" customWidth="1" min="25" max="25"/>
    <col width="16" customWidth="1" min="26" max="26"/>
    <col width="16" customWidth="1" min="27" max="27"/>
    <col width="22" customWidth="1" min="28" max="28"/>
    <col width="16" customWidth="1" min="29" max="29"/>
    <col width="18" customWidth="1" min="30" max="30"/>
    <col width="16" customWidth="1" min="31" max="31"/>
    <col width="14" customWidth="1" min="32" max="32"/>
    <col width="44" customWidth="1" min="33" max="33"/>
    <col width="14" customWidth="1" min="34" max="34"/>
  </cols>
  <sheetData>
    <row r="1" ht="32" customHeight="1">
      <c r="A1" s="1" t="inlineStr">
        <is>
          <t>Rejestr pomiarów godzinowych i próbek dodatkowych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24" customHeight="1">
      <c r="A2" s="5" t="inlineStr">
        <is>
          <t>Data</t>
        </is>
      </c>
      <c r="B2" s="5" t="inlineStr">
        <is>
          <t>Godzina doby</t>
        </is>
      </c>
      <c r="C2" s="5" t="inlineStr">
        <is>
          <t>Czas próbki</t>
        </is>
      </c>
      <c r="D2" s="5" t="inlineStr">
        <is>
          <t>Obciążenie plan [kW]</t>
        </is>
      </c>
      <c r="E2" s="5" t="inlineStr">
        <is>
          <t>Obciążenie rzeczyw. [kW]</t>
        </is>
      </c>
      <c r="F2" s="5" t="inlineStr">
        <is>
          <t>L1 kW</t>
        </is>
      </c>
      <c r="G2" s="5" t="inlineStr">
        <is>
          <t>L2 kW</t>
        </is>
      </c>
      <c r="H2" s="5" t="inlineStr">
        <is>
          <t>L3 kW</t>
        </is>
      </c>
      <c r="I2" s="5" t="inlineStr">
        <is>
          <t>P suma [kW]</t>
        </is>
      </c>
      <c r="J2" s="5" t="inlineStr">
        <is>
          <t>U L1-N [V]</t>
        </is>
      </c>
      <c r="K2" s="5" t="inlineStr">
        <is>
          <t>U L2-N [V]</t>
        </is>
      </c>
      <c r="L2" s="5" t="inlineStr">
        <is>
          <t>U L3-N [V]</t>
        </is>
      </c>
      <c r="M2" s="5" t="inlineStr">
        <is>
          <t>U L-L min [V]</t>
        </is>
      </c>
      <c r="N2" s="5" t="inlineStr">
        <is>
          <t>U L-L max [V]</t>
        </is>
      </c>
      <c r="O2" s="5" t="inlineStr">
        <is>
          <t>I L1 [A]</t>
        </is>
      </c>
      <c r="P2" s="5" t="inlineStr">
        <is>
          <t>I L2 [A]</t>
        </is>
      </c>
      <c r="Q2" s="5" t="inlineStr">
        <is>
          <t>I L3 [A]</t>
        </is>
      </c>
      <c r="R2" s="5" t="inlineStr">
        <is>
          <t>Hz</t>
        </is>
      </c>
      <c r="S2" s="5" t="inlineStr">
        <is>
          <t>cosφ</t>
        </is>
      </c>
      <c r="T2" s="5" t="inlineStr">
        <is>
          <t>kVA</t>
        </is>
      </c>
      <c r="U2" s="5" t="inlineStr">
        <is>
          <t>THD U [%]</t>
        </is>
      </c>
      <c r="V2" s="5" t="inlineStr">
        <is>
          <t>SOC [%]</t>
        </is>
      </c>
      <c r="W2" s="5" t="inlineStr">
        <is>
          <t>PV [kW]</t>
        </is>
      </c>
      <c r="X2" s="5" t="inlineStr">
        <is>
          <t>Agregat</t>
        </is>
      </c>
      <c r="Y2" s="5" t="inlineStr">
        <is>
          <t>Ładowanie BESS [kW]</t>
        </is>
      </c>
      <c r="Z2" s="5" t="inlineStr">
        <is>
          <t>Paliwo dodane [l]</t>
        </is>
      </c>
      <c r="AA2" s="5" t="inlineStr">
        <is>
          <t>Temp zewn. [°C]</t>
        </is>
      </c>
      <c r="AB2" s="5" t="inlineStr">
        <is>
          <t>Temp komora agregatu [°C]</t>
        </is>
      </c>
      <c r="AC2" s="5" t="inlineStr">
        <is>
          <t>Temp BESS [°C]</t>
        </is>
      </c>
      <c r="AD2" s="5" t="inlineStr">
        <is>
          <t>Temp falownika [°C]</t>
        </is>
      </c>
      <c r="AE2" s="5" t="inlineStr">
        <is>
          <t>Temp spalin [°C]</t>
        </is>
      </c>
      <c r="AF2" s="5" t="inlineStr">
        <is>
          <t>Hałas [dB(A)]</t>
        </is>
      </c>
      <c r="AG2" s="5" t="inlineStr">
        <is>
          <t>Alarmy / uwagi</t>
        </is>
      </c>
      <c r="AH2" s="5" t="inlineStr">
        <is>
          <t>Wynik</t>
        </is>
      </c>
    </row>
    <row r="3" ht="24" customHeight="1">
      <c r="A3" s="4" t="inlineStr"/>
      <c r="B3" s="4" t="n">
        <v>0</v>
      </c>
      <c r="C3" s="4" t="inlineStr">
        <is>
          <t>00:00</t>
        </is>
      </c>
      <c r="D3" s="12">
        <f>'03_Plan_dobowy'!C3</f>
        <v/>
      </c>
      <c r="E3" s="12" t="inlineStr"/>
      <c r="F3" s="12" t="inlineStr"/>
      <c r="G3" s="12" t="inlineStr"/>
      <c r="H3" s="12" t="inlineStr"/>
      <c r="I3" s="12">
        <f>SUM(F3:H3)</f>
        <v/>
      </c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4" t="inlineStr"/>
      <c r="AG3" s="4" t="inlineStr"/>
      <c r="AH3" s="4" t="inlineStr"/>
    </row>
    <row r="4" ht="24" customHeight="1">
      <c r="A4" s="4" t="inlineStr"/>
      <c r="B4" s="4" t="n">
        <v>1</v>
      </c>
      <c r="C4" s="4" t="inlineStr">
        <is>
          <t>01:00</t>
        </is>
      </c>
      <c r="D4" s="12">
        <f>'03_Plan_dobowy'!C4</f>
        <v/>
      </c>
      <c r="E4" s="12" t="inlineStr"/>
      <c r="F4" s="12" t="inlineStr"/>
      <c r="G4" s="12" t="inlineStr"/>
      <c r="H4" s="12" t="inlineStr"/>
      <c r="I4" s="12">
        <f>SUM(F4:H4)</f>
        <v/>
      </c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4" t="inlineStr"/>
      <c r="AG4" s="4" t="inlineStr"/>
      <c r="AH4" s="4" t="inlineStr"/>
    </row>
    <row r="5" ht="24" customHeight="1">
      <c r="A5" s="4" t="inlineStr"/>
      <c r="B5" s="4" t="n">
        <v>2</v>
      </c>
      <c r="C5" s="4" t="inlineStr">
        <is>
          <t>02:00</t>
        </is>
      </c>
      <c r="D5" s="12">
        <f>'03_Plan_dobowy'!C5</f>
        <v/>
      </c>
      <c r="E5" s="12" t="inlineStr"/>
      <c r="F5" s="12" t="inlineStr"/>
      <c r="G5" s="12" t="inlineStr"/>
      <c r="H5" s="12" t="inlineStr"/>
      <c r="I5" s="12">
        <f>SUM(F5:H5)</f>
        <v/>
      </c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4" t="inlineStr"/>
      <c r="AG5" s="4" t="inlineStr"/>
      <c r="AH5" s="4" t="inlineStr"/>
    </row>
    <row r="6" ht="24" customHeight="1">
      <c r="A6" s="4" t="inlineStr"/>
      <c r="B6" s="4" t="n">
        <v>3</v>
      </c>
      <c r="C6" s="4" t="inlineStr">
        <is>
          <t>03:00</t>
        </is>
      </c>
      <c r="D6" s="12">
        <f>'03_Plan_dobowy'!C6</f>
        <v/>
      </c>
      <c r="E6" s="12" t="inlineStr"/>
      <c r="F6" s="12" t="inlineStr"/>
      <c r="G6" s="12" t="inlineStr"/>
      <c r="H6" s="12" t="inlineStr"/>
      <c r="I6" s="12">
        <f>SUM(F6:H6)</f>
        <v/>
      </c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4" t="inlineStr"/>
      <c r="AG6" s="4" t="inlineStr"/>
      <c r="AH6" s="4" t="inlineStr"/>
    </row>
    <row r="7" ht="24" customHeight="1">
      <c r="A7" s="4" t="inlineStr"/>
      <c r="B7" s="4" t="n">
        <v>4</v>
      </c>
      <c r="C7" s="4" t="inlineStr">
        <is>
          <t>04:00</t>
        </is>
      </c>
      <c r="D7" s="12">
        <f>'03_Plan_dobowy'!C7</f>
        <v/>
      </c>
      <c r="E7" s="12" t="inlineStr"/>
      <c r="F7" s="12" t="inlineStr"/>
      <c r="G7" s="12" t="inlineStr"/>
      <c r="H7" s="12" t="inlineStr"/>
      <c r="I7" s="12">
        <f>SUM(F7:H7)</f>
        <v/>
      </c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4" t="inlineStr"/>
      <c r="AG7" s="4" t="inlineStr"/>
      <c r="AH7" s="4" t="inlineStr"/>
    </row>
    <row r="8" ht="24" customHeight="1">
      <c r="A8" s="4" t="inlineStr"/>
      <c r="B8" s="4" t="n">
        <v>5</v>
      </c>
      <c r="C8" s="4" t="inlineStr">
        <is>
          <t>05:00</t>
        </is>
      </c>
      <c r="D8" s="12">
        <f>'03_Plan_dobowy'!C8</f>
        <v/>
      </c>
      <c r="E8" s="12" t="inlineStr"/>
      <c r="F8" s="12" t="inlineStr"/>
      <c r="G8" s="12" t="inlineStr"/>
      <c r="H8" s="12" t="inlineStr"/>
      <c r="I8" s="12">
        <f>SUM(F8:H8)</f>
        <v/>
      </c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4" t="inlineStr"/>
      <c r="AG8" s="4" t="inlineStr"/>
      <c r="AH8" s="4" t="inlineStr"/>
    </row>
    <row r="9" ht="24" customHeight="1">
      <c r="A9" s="4" t="inlineStr"/>
      <c r="B9" s="4" t="n">
        <v>6</v>
      </c>
      <c r="C9" s="4" t="inlineStr">
        <is>
          <t>06:00</t>
        </is>
      </c>
      <c r="D9" s="12">
        <f>'03_Plan_dobowy'!C9</f>
        <v/>
      </c>
      <c r="E9" s="12" t="inlineStr"/>
      <c r="F9" s="12" t="inlineStr"/>
      <c r="G9" s="12" t="inlineStr"/>
      <c r="H9" s="12" t="inlineStr"/>
      <c r="I9" s="12">
        <f>SUM(F9:H9)</f>
        <v/>
      </c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4" t="inlineStr"/>
      <c r="AG9" s="4" t="inlineStr"/>
      <c r="AH9" s="4" t="inlineStr"/>
    </row>
    <row r="10" ht="24" customHeight="1">
      <c r="A10" s="4" t="inlineStr"/>
      <c r="B10" s="4" t="n">
        <v>7</v>
      </c>
      <c r="C10" s="4" t="inlineStr">
        <is>
          <t>07:00</t>
        </is>
      </c>
      <c r="D10" s="12">
        <f>'03_Plan_dobowy'!C10</f>
        <v/>
      </c>
      <c r="E10" s="12" t="inlineStr"/>
      <c r="F10" s="12" t="inlineStr"/>
      <c r="G10" s="12" t="inlineStr"/>
      <c r="H10" s="12" t="inlineStr"/>
      <c r="I10" s="12">
        <f>SUM(F10:H10)</f>
        <v/>
      </c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4" t="inlineStr"/>
      <c r="AG10" s="4" t="inlineStr"/>
      <c r="AH10" s="4" t="inlineStr"/>
    </row>
    <row r="11" ht="24" customHeight="1">
      <c r="A11" s="4" t="inlineStr"/>
      <c r="B11" s="4" t="n">
        <v>8</v>
      </c>
      <c r="C11" s="4" t="inlineStr">
        <is>
          <t>08:00</t>
        </is>
      </c>
      <c r="D11" s="12">
        <f>'03_Plan_dobowy'!C11</f>
        <v/>
      </c>
      <c r="E11" s="12" t="inlineStr"/>
      <c r="F11" s="12" t="inlineStr"/>
      <c r="G11" s="12" t="inlineStr"/>
      <c r="H11" s="12" t="inlineStr"/>
      <c r="I11" s="12">
        <f>SUM(F11:H11)</f>
        <v/>
      </c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4" t="inlineStr"/>
      <c r="AG11" s="4" t="inlineStr"/>
      <c r="AH11" s="4" t="inlineStr"/>
    </row>
    <row r="12" ht="24" customHeight="1">
      <c r="A12" s="4" t="inlineStr"/>
      <c r="B12" s="4" t="n">
        <v>9</v>
      </c>
      <c r="C12" s="4" t="inlineStr">
        <is>
          <t>09:00</t>
        </is>
      </c>
      <c r="D12" s="12">
        <f>'03_Plan_dobowy'!C12</f>
        <v/>
      </c>
      <c r="E12" s="12" t="inlineStr"/>
      <c r="F12" s="12" t="inlineStr"/>
      <c r="G12" s="12" t="inlineStr"/>
      <c r="H12" s="12" t="inlineStr"/>
      <c r="I12" s="12">
        <f>SUM(F12:H12)</f>
        <v/>
      </c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4" t="inlineStr"/>
      <c r="AG12" s="4" t="inlineStr"/>
      <c r="AH12" s="4" t="inlineStr"/>
    </row>
    <row r="13" ht="24" customHeight="1">
      <c r="A13" s="4" t="inlineStr"/>
      <c r="B13" s="4" t="n">
        <v>10</v>
      </c>
      <c r="C13" s="4" t="inlineStr">
        <is>
          <t>10:00</t>
        </is>
      </c>
      <c r="D13" s="12">
        <f>'03_Plan_dobowy'!C13</f>
        <v/>
      </c>
      <c r="E13" s="12" t="inlineStr"/>
      <c r="F13" s="12" t="inlineStr"/>
      <c r="G13" s="12" t="inlineStr"/>
      <c r="H13" s="12" t="inlineStr"/>
      <c r="I13" s="12">
        <f>SUM(F13:H13)</f>
        <v/>
      </c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4" t="inlineStr"/>
      <c r="AG13" s="4" t="inlineStr"/>
      <c r="AH13" s="4" t="inlineStr"/>
    </row>
    <row r="14" ht="24" customHeight="1">
      <c r="A14" s="4" t="inlineStr"/>
      <c r="B14" s="4" t="n">
        <v>11</v>
      </c>
      <c r="C14" s="4" t="inlineStr">
        <is>
          <t>11:00</t>
        </is>
      </c>
      <c r="D14" s="12">
        <f>'03_Plan_dobowy'!C14</f>
        <v/>
      </c>
      <c r="E14" s="12" t="inlineStr"/>
      <c r="F14" s="12" t="inlineStr"/>
      <c r="G14" s="12" t="inlineStr"/>
      <c r="H14" s="12" t="inlineStr"/>
      <c r="I14" s="12">
        <f>SUM(F14:H14)</f>
        <v/>
      </c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4" t="inlineStr"/>
      <c r="AG14" s="4" t="inlineStr"/>
      <c r="AH14" s="4" t="inlineStr"/>
    </row>
    <row r="15" ht="24" customHeight="1">
      <c r="A15" s="4" t="inlineStr"/>
      <c r="B15" s="4" t="n">
        <v>12</v>
      </c>
      <c r="C15" s="4" t="inlineStr">
        <is>
          <t>12:00</t>
        </is>
      </c>
      <c r="D15" s="12">
        <f>'03_Plan_dobowy'!C15</f>
        <v/>
      </c>
      <c r="E15" s="12" t="inlineStr"/>
      <c r="F15" s="12" t="inlineStr"/>
      <c r="G15" s="12" t="inlineStr"/>
      <c r="H15" s="12" t="inlineStr"/>
      <c r="I15" s="12">
        <f>SUM(F15:H15)</f>
        <v/>
      </c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4" t="inlineStr"/>
      <c r="AG15" s="4" t="inlineStr"/>
      <c r="AH15" s="4" t="inlineStr"/>
    </row>
    <row r="16" ht="24" customHeight="1">
      <c r="A16" s="4" t="inlineStr"/>
      <c r="B16" s="4" t="n">
        <v>13</v>
      </c>
      <c r="C16" s="4" t="inlineStr">
        <is>
          <t>13:00</t>
        </is>
      </c>
      <c r="D16" s="12">
        <f>'03_Plan_dobowy'!C16</f>
        <v/>
      </c>
      <c r="E16" s="12" t="inlineStr"/>
      <c r="F16" s="12" t="inlineStr"/>
      <c r="G16" s="12" t="inlineStr"/>
      <c r="H16" s="12" t="inlineStr"/>
      <c r="I16" s="12">
        <f>SUM(F16:H16)</f>
        <v/>
      </c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4" t="inlineStr"/>
      <c r="AG16" s="4" t="inlineStr"/>
      <c r="AH16" s="4" t="inlineStr"/>
    </row>
    <row r="17" ht="24" customHeight="1">
      <c r="A17" s="4" t="inlineStr"/>
      <c r="B17" s="4" t="n">
        <v>14</v>
      </c>
      <c r="C17" s="4" t="inlineStr">
        <is>
          <t>14:00</t>
        </is>
      </c>
      <c r="D17" s="12">
        <f>'03_Plan_dobowy'!C17</f>
        <v/>
      </c>
      <c r="E17" s="12" t="inlineStr"/>
      <c r="F17" s="12" t="inlineStr"/>
      <c r="G17" s="12" t="inlineStr"/>
      <c r="H17" s="12" t="inlineStr"/>
      <c r="I17" s="12">
        <f>SUM(F17:H17)</f>
        <v/>
      </c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4" t="inlineStr"/>
      <c r="AG17" s="4" t="inlineStr"/>
      <c r="AH17" s="4" t="inlineStr"/>
    </row>
    <row r="18" ht="24" customHeight="1">
      <c r="A18" s="4" t="inlineStr"/>
      <c r="B18" s="4" t="n">
        <v>15</v>
      </c>
      <c r="C18" s="4" t="inlineStr">
        <is>
          <t>15:00</t>
        </is>
      </c>
      <c r="D18" s="12">
        <f>'03_Plan_dobowy'!C18</f>
        <v/>
      </c>
      <c r="E18" s="12" t="inlineStr"/>
      <c r="F18" s="12" t="inlineStr"/>
      <c r="G18" s="12" t="inlineStr"/>
      <c r="H18" s="12" t="inlineStr"/>
      <c r="I18" s="12">
        <f>SUM(F18:H18)</f>
        <v/>
      </c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4" t="inlineStr"/>
      <c r="AG18" s="4" t="inlineStr"/>
      <c r="AH18" s="4" t="inlineStr"/>
    </row>
    <row r="19" ht="24" customHeight="1">
      <c r="A19" s="4" t="inlineStr"/>
      <c r="B19" s="4" t="n">
        <v>16</v>
      </c>
      <c r="C19" s="4" t="inlineStr">
        <is>
          <t>16:00</t>
        </is>
      </c>
      <c r="D19" s="12">
        <f>'03_Plan_dobowy'!C19</f>
        <v/>
      </c>
      <c r="E19" s="12" t="inlineStr"/>
      <c r="F19" s="12" t="inlineStr"/>
      <c r="G19" s="12" t="inlineStr"/>
      <c r="H19" s="12" t="inlineStr"/>
      <c r="I19" s="12">
        <f>SUM(F19:H19)</f>
        <v/>
      </c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4" t="inlineStr"/>
      <c r="AG19" s="4" t="inlineStr"/>
      <c r="AH19" s="4" t="inlineStr"/>
    </row>
    <row r="20" ht="24" customHeight="1">
      <c r="A20" s="4" t="inlineStr"/>
      <c r="B20" s="4" t="n">
        <v>17</v>
      </c>
      <c r="C20" s="4" t="inlineStr">
        <is>
          <t>17:00</t>
        </is>
      </c>
      <c r="D20" s="12">
        <f>'03_Plan_dobowy'!C20</f>
        <v/>
      </c>
      <c r="E20" s="12" t="inlineStr"/>
      <c r="F20" s="12" t="inlineStr"/>
      <c r="G20" s="12" t="inlineStr"/>
      <c r="H20" s="12" t="inlineStr"/>
      <c r="I20" s="12">
        <f>SUM(F20:H20)</f>
        <v/>
      </c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4" t="inlineStr"/>
      <c r="AG20" s="4" t="inlineStr"/>
      <c r="AH20" s="4" t="inlineStr"/>
    </row>
    <row r="21" ht="24" customHeight="1">
      <c r="A21" s="4" t="inlineStr"/>
      <c r="B21" s="4" t="n">
        <v>18</v>
      </c>
      <c r="C21" s="4" t="inlineStr">
        <is>
          <t>18:00</t>
        </is>
      </c>
      <c r="D21" s="12">
        <f>'03_Plan_dobowy'!C21</f>
        <v/>
      </c>
      <c r="E21" s="12" t="inlineStr"/>
      <c r="F21" s="12" t="inlineStr"/>
      <c r="G21" s="12" t="inlineStr"/>
      <c r="H21" s="12" t="inlineStr"/>
      <c r="I21" s="12">
        <f>SUM(F21:H21)</f>
        <v/>
      </c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4" t="inlineStr"/>
      <c r="AG21" s="4" t="inlineStr"/>
      <c r="AH21" s="4" t="inlineStr"/>
    </row>
    <row r="22" ht="24" customHeight="1">
      <c r="A22" s="4" t="inlineStr"/>
      <c r="B22" s="4" t="n">
        <v>19</v>
      </c>
      <c r="C22" s="4" t="inlineStr">
        <is>
          <t>19:00</t>
        </is>
      </c>
      <c r="D22" s="12">
        <f>'03_Plan_dobowy'!C22</f>
        <v/>
      </c>
      <c r="E22" s="12" t="inlineStr"/>
      <c r="F22" s="12" t="inlineStr"/>
      <c r="G22" s="12" t="inlineStr"/>
      <c r="H22" s="12" t="inlineStr"/>
      <c r="I22" s="12">
        <f>SUM(F22:H22)</f>
        <v/>
      </c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4" t="inlineStr"/>
      <c r="AG22" s="4" t="inlineStr"/>
      <c r="AH22" s="4" t="inlineStr"/>
    </row>
    <row r="23" ht="24" customHeight="1">
      <c r="A23" s="4" t="inlineStr"/>
      <c r="B23" s="4" t="n">
        <v>20</v>
      </c>
      <c r="C23" s="4" t="inlineStr">
        <is>
          <t>20:00</t>
        </is>
      </c>
      <c r="D23" s="12">
        <f>'03_Plan_dobowy'!C23</f>
        <v/>
      </c>
      <c r="E23" s="12" t="inlineStr"/>
      <c r="F23" s="12" t="inlineStr"/>
      <c r="G23" s="12" t="inlineStr"/>
      <c r="H23" s="12" t="inlineStr"/>
      <c r="I23" s="12">
        <f>SUM(F23:H23)</f>
        <v/>
      </c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4" t="inlineStr"/>
      <c r="AG23" s="4" t="inlineStr"/>
      <c r="AH23" s="4" t="inlineStr"/>
    </row>
    <row r="24" ht="24" customHeight="1">
      <c r="A24" s="4" t="inlineStr"/>
      <c r="B24" s="4" t="n">
        <v>21</v>
      </c>
      <c r="C24" s="4" t="inlineStr">
        <is>
          <t>21:00</t>
        </is>
      </c>
      <c r="D24" s="12">
        <f>'03_Plan_dobowy'!C24</f>
        <v/>
      </c>
      <c r="E24" s="12" t="inlineStr"/>
      <c r="F24" s="12" t="inlineStr"/>
      <c r="G24" s="12" t="inlineStr"/>
      <c r="H24" s="12" t="inlineStr"/>
      <c r="I24" s="12">
        <f>SUM(F24:H24)</f>
        <v/>
      </c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4" t="inlineStr"/>
      <c r="AG24" s="4" t="inlineStr"/>
      <c r="AH24" s="4" t="inlineStr"/>
    </row>
    <row r="25" ht="24" customHeight="1">
      <c r="A25" s="4" t="inlineStr"/>
      <c r="B25" s="4" t="n">
        <v>22</v>
      </c>
      <c r="C25" s="4" t="inlineStr">
        <is>
          <t>22:00</t>
        </is>
      </c>
      <c r="D25" s="12">
        <f>'03_Plan_dobowy'!C25</f>
        <v/>
      </c>
      <c r="E25" s="12" t="inlineStr"/>
      <c r="F25" s="12" t="inlineStr"/>
      <c r="G25" s="12" t="inlineStr"/>
      <c r="H25" s="12" t="inlineStr"/>
      <c r="I25" s="12">
        <f>SUM(F25:H25)</f>
        <v/>
      </c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4" t="inlineStr"/>
      <c r="AG25" s="4" t="inlineStr"/>
      <c r="AH25" s="4" t="inlineStr"/>
    </row>
    <row r="26" ht="24" customHeight="1">
      <c r="A26" s="4" t="inlineStr"/>
      <c r="B26" s="4" t="n">
        <v>23</v>
      </c>
      <c r="C26" s="4" t="inlineStr">
        <is>
          <t>23:00</t>
        </is>
      </c>
      <c r="D26" s="12">
        <f>'03_Plan_dobowy'!C26</f>
        <v/>
      </c>
      <c r="E26" s="12" t="inlineStr"/>
      <c r="F26" s="12" t="inlineStr"/>
      <c r="G26" s="12" t="inlineStr"/>
      <c r="H26" s="12" t="inlineStr"/>
      <c r="I26" s="12">
        <f>SUM(F26:H26)</f>
        <v/>
      </c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4" t="inlineStr"/>
      <c r="AG26" s="4" t="inlineStr"/>
      <c r="AH26" s="4" t="inlineStr"/>
    </row>
    <row r="27" ht="24" customHeight="1">
      <c r="A27" s="4" t="inlineStr"/>
      <c r="B27" s="4" t="inlineStr"/>
      <c r="C27" s="4" t="inlineStr"/>
      <c r="D27" s="12" t="inlineStr"/>
      <c r="E27" s="12" t="inlineStr"/>
      <c r="F27" s="12" t="inlineStr"/>
      <c r="G27" s="12" t="inlineStr"/>
      <c r="H27" s="12" t="inlineStr"/>
      <c r="I27" s="12">
        <f>SUM(F27:H27)</f>
        <v/>
      </c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4" t="inlineStr"/>
      <c r="AG27" s="4" t="inlineStr"/>
      <c r="AH27" s="4" t="inlineStr"/>
    </row>
    <row r="28" ht="24" customHeight="1">
      <c r="A28" s="4" t="inlineStr"/>
      <c r="B28" s="4" t="inlineStr"/>
      <c r="C28" s="4" t="inlineStr"/>
      <c r="D28" s="12" t="inlineStr"/>
      <c r="E28" s="12" t="inlineStr"/>
      <c r="F28" s="12" t="inlineStr"/>
      <c r="G28" s="12" t="inlineStr"/>
      <c r="H28" s="12" t="inlineStr"/>
      <c r="I28" s="12">
        <f>SUM(F28:H28)</f>
        <v/>
      </c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4" t="inlineStr"/>
      <c r="AG28" s="4" t="inlineStr"/>
      <c r="AH28" s="4" t="inlineStr"/>
    </row>
    <row r="29" ht="24" customHeight="1">
      <c r="A29" s="4" t="inlineStr"/>
      <c r="B29" s="4" t="inlineStr"/>
      <c r="C29" s="4" t="inlineStr"/>
      <c r="D29" s="12" t="inlineStr"/>
      <c r="E29" s="12" t="inlineStr"/>
      <c r="F29" s="12" t="inlineStr"/>
      <c r="G29" s="12" t="inlineStr"/>
      <c r="H29" s="12" t="inlineStr"/>
      <c r="I29" s="12">
        <f>SUM(F29:H29)</f>
        <v/>
      </c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4" t="inlineStr"/>
      <c r="AG29" s="4" t="inlineStr"/>
      <c r="AH29" s="4" t="inlineStr"/>
    </row>
    <row r="30" ht="24" customHeight="1">
      <c r="A30" s="4" t="inlineStr"/>
      <c r="B30" s="4" t="inlineStr"/>
      <c r="C30" s="4" t="inlineStr"/>
      <c r="D30" s="12" t="inlineStr"/>
      <c r="E30" s="12" t="inlineStr"/>
      <c r="F30" s="12" t="inlineStr"/>
      <c r="G30" s="12" t="inlineStr"/>
      <c r="H30" s="12" t="inlineStr"/>
      <c r="I30" s="12">
        <f>SUM(F30:H30)</f>
        <v/>
      </c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4" t="inlineStr"/>
      <c r="AG30" s="4" t="inlineStr"/>
      <c r="AH30" s="4" t="inlineStr"/>
    </row>
    <row r="31" ht="24" customHeight="1">
      <c r="A31" s="4" t="inlineStr"/>
      <c r="B31" s="4" t="inlineStr"/>
      <c r="C31" s="4" t="inlineStr"/>
      <c r="D31" s="12" t="inlineStr"/>
      <c r="E31" s="12" t="inlineStr"/>
      <c r="F31" s="12" t="inlineStr"/>
      <c r="G31" s="12" t="inlineStr"/>
      <c r="H31" s="12" t="inlineStr"/>
      <c r="I31" s="12">
        <f>SUM(F31:H31)</f>
        <v/>
      </c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4" t="inlineStr"/>
      <c r="AG31" s="4" t="inlineStr"/>
      <c r="AH31" s="4" t="inlineStr"/>
    </row>
    <row r="32" ht="24" customHeight="1">
      <c r="A32" s="4" t="inlineStr"/>
      <c r="B32" s="4" t="inlineStr"/>
      <c r="C32" s="4" t="inlineStr"/>
      <c r="D32" s="12" t="inlineStr"/>
      <c r="E32" s="12" t="inlineStr"/>
      <c r="F32" s="12" t="inlineStr"/>
      <c r="G32" s="12" t="inlineStr"/>
      <c r="H32" s="12" t="inlineStr"/>
      <c r="I32" s="12">
        <f>SUM(F32:H32)</f>
        <v/>
      </c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4" t="inlineStr"/>
      <c r="AG32" s="4" t="inlineStr"/>
      <c r="AH32" s="4" t="inlineStr"/>
    </row>
    <row r="33" ht="24" customHeight="1">
      <c r="A33" s="4" t="inlineStr"/>
      <c r="B33" s="4" t="inlineStr"/>
      <c r="C33" s="4" t="inlineStr"/>
      <c r="D33" s="12" t="inlineStr"/>
      <c r="E33" s="12" t="inlineStr"/>
      <c r="F33" s="12" t="inlineStr"/>
      <c r="G33" s="12" t="inlineStr"/>
      <c r="H33" s="12" t="inlineStr"/>
      <c r="I33" s="12">
        <f>SUM(F33:H33)</f>
        <v/>
      </c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4" t="inlineStr"/>
      <c r="AG33" s="4" t="inlineStr"/>
      <c r="AH33" s="4" t="inlineStr"/>
    </row>
    <row r="34" ht="24" customHeight="1">
      <c r="A34" s="4" t="inlineStr"/>
      <c r="B34" s="4" t="inlineStr"/>
      <c r="C34" s="4" t="inlineStr"/>
      <c r="D34" s="12" t="inlineStr"/>
      <c r="E34" s="12" t="inlineStr"/>
      <c r="F34" s="12" t="inlineStr"/>
      <c r="G34" s="12" t="inlineStr"/>
      <c r="H34" s="12" t="inlineStr"/>
      <c r="I34" s="12">
        <f>SUM(F34:H34)</f>
        <v/>
      </c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4" t="inlineStr"/>
      <c r="AG34" s="4" t="inlineStr"/>
      <c r="AH34" s="4" t="inlineStr"/>
    </row>
    <row r="35" ht="24" customHeight="1">
      <c r="A35" s="4" t="inlineStr"/>
      <c r="B35" s="4" t="inlineStr"/>
      <c r="C35" s="4" t="inlineStr"/>
      <c r="D35" s="12" t="inlineStr"/>
      <c r="E35" s="12" t="inlineStr"/>
      <c r="F35" s="12" t="inlineStr"/>
      <c r="G35" s="12" t="inlineStr"/>
      <c r="H35" s="12" t="inlineStr"/>
      <c r="I35" s="12">
        <f>SUM(F35:H35)</f>
        <v/>
      </c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4" t="inlineStr"/>
      <c r="AG35" s="4" t="inlineStr"/>
      <c r="AH35" s="4" t="inlineStr"/>
    </row>
    <row r="36" ht="24" customHeight="1">
      <c r="A36" s="4" t="inlineStr"/>
      <c r="B36" s="4" t="inlineStr"/>
      <c r="C36" s="4" t="inlineStr"/>
      <c r="D36" s="12" t="inlineStr"/>
      <c r="E36" s="12" t="inlineStr"/>
      <c r="F36" s="12" t="inlineStr"/>
      <c r="G36" s="12" t="inlineStr"/>
      <c r="H36" s="12" t="inlineStr"/>
      <c r="I36" s="12">
        <f>SUM(F36:H36)</f>
        <v/>
      </c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4" t="inlineStr"/>
      <c r="AG36" s="4" t="inlineStr"/>
      <c r="AH36" s="4" t="inlineStr"/>
    </row>
    <row r="37" ht="24" customHeight="1">
      <c r="A37" s="4" t="inlineStr"/>
      <c r="B37" s="4" t="inlineStr"/>
      <c r="C37" s="4" t="inlineStr"/>
      <c r="D37" s="12" t="inlineStr"/>
      <c r="E37" s="12" t="inlineStr"/>
      <c r="F37" s="12" t="inlineStr"/>
      <c r="G37" s="12" t="inlineStr"/>
      <c r="H37" s="12" t="inlineStr"/>
      <c r="I37" s="12">
        <f>SUM(F37:H37)</f>
        <v/>
      </c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4" t="inlineStr"/>
      <c r="AG37" s="4" t="inlineStr"/>
      <c r="AH37" s="4" t="inlineStr"/>
    </row>
    <row r="38" ht="24" customHeight="1">
      <c r="A38" s="4" t="inlineStr"/>
      <c r="B38" s="4" t="inlineStr"/>
      <c r="C38" s="4" t="inlineStr"/>
      <c r="D38" s="12" t="inlineStr"/>
      <c r="E38" s="12" t="inlineStr"/>
      <c r="F38" s="12" t="inlineStr"/>
      <c r="G38" s="12" t="inlineStr"/>
      <c r="H38" s="12" t="inlineStr"/>
      <c r="I38" s="12">
        <f>SUM(F38:H38)</f>
        <v/>
      </c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4" t="inlineStr"/>
      <c r="AG38" s="4" t="inlineStr"/>
      <c r="AH38" s="4" t="inlineStr"/>
    </row>
  </sheetData>
  <autoFilter ref="A2:AH38"/>
  <mergeCells count="1">
    <mergeCell ref="A1:AD1"/>
  </mergeCells>
  <conditionalFormatting sqref="E3:E80">
    <cfRule type="cellIs" priority="1" operator="greaterThan" dxfId="0">
      <formula>13</formula>
    </cfRule>
  </conditionalFormatting>
  <conditionalFormatting sqref="R3:R80">
    <cfRule type="cellIs" priority="2" operator="notBetween" dxfId="1">
      <formula>49</formula>
      <formula>51</formula>
    </cfRule>
  </conditionalFormatting>
  <conditionalFormatting sqref="J3:L80">
    <cfRule type="cellIs" priority="3" operator="notBetween" dxfId="1">
      <formula>207</formula>
      <formula>253</formula>
    </cfRule>
  </conditionalFormatting>
  <dataValidations count="2">
    <dataValidation sqref="X3:X80" showDropDown="0" showInputMessage="0" showErrorMessage="0" allowBlank="1" type="list">
      <formula1>"OFF,ON,START,STOP,AWARIA,N/D"</formula1>
    </dataValidation>
    <dataValidation sqref="AH3:AH80" showDropDown="0" showInputMessage="0" showErrorMessage="0" allowBlank="1" type="list">
      <formula1>"OK,NOK,Powtórzyć,N/D"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5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24" customWidth="1" min="10" max="10"/>
    <col width="18" customWidth="1" min="11" max="11"/>
    <col width="34" customWidth="1" min="12" max="12"/>
  </cols>
  <sheetData>
    <row r="1" ht="32" customHeight="1">
      <c r="A1" s="1" t="inlineStr">
        <is>
          <t>Rejestr paliwa, alarmów, temperatur i interwencji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5" t="inlineStr">
        <is>
          <t>Data</t>
        </is>
      </c>
      <c r="B2" s="5" t="inlineStr">
        <is>
          <t>Godzina</t>
        </is>
      </c>
      <c r="C2" s="5" t="inlineStr">
        <is>
          <t>Typ wpisu</t>
        </is>
      </c>
      <c r="D2" s="5" t="inlineStr">
        <is>
          <t>Opis zdarzenia</t>
        </is>
      </c>
      <c r="E2" s="5" t="inlineStr">
        <is>
          <t>Obciążenie [kW]</t>
        </is>
      </c>
      <c r="F2" s="5" t="inlineStr">
        <is>
          <t>SOC [%]</t>
        </is>
      </c>
      <c r="G2" s="5" t="inlineStr">
        <is>
          <t>Paliwo przed [l]</t>
        </is>
      </c>
      <c r="H2" s="5" t="inlineStr">
        <is>
          <t>Paliwo dodane [l]</t>
        </is>
      </c>
      <c r="I2" s="5" t="inlineStr">
        <is>
          <t>Paliwo po [l]</t>
        </is>
      </c>
      <c r="J2" s="5" t="inlineStr">
        <is>
          <t>Temp / miejsce</t>
        </is>
      </c>
      <c r="K2" s="5" t="inlineStr">
        <is>
          <t>Osoba</t>
        </is>
      </c>
      <c r="L2" s="5" t="inlineStr">
        <is>
          <t>Dowód / plik / zdjęcie</t>
        </is>
      </c>
    </row>
    <row r="3" ht="24" customHeight="1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 ht="2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ht="24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 ht="2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 ht="24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24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 ht="2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24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t="2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24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 ht="2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24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 ht="2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 ht="24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 ht="2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 ht="24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 ht="2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 ht="24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 ht="2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 ht="24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 ht="2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 ht="24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 ht="2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 ht="24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 ht="2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 ht="24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 ht="24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 ht="24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 ht="24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</sheetData>
  <autoFilter ref="A2:L32"/>
  <mergeCells count="1">
    <mergeCell ref="A1:L1"/>
  </mergeCells>
  <dataValidations count="1">
    <dataValidation sqref="C3:C80" showDropDown="0" showInputMessage="0" showErrorMessage="0" allowBlank="1" type="list">
      <formula1>"paliwo,alarm,temperatura,E-STOP,restart,pomiar dodatkowy,uwaga"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4" customWidth="1" min="4" max="4"/>
    <col width="16" customWidth="1" min="5" max="5"/>
    <col width="18" customWidth="1" min="6" max="6"/>
    <col width="28" customWidth="1" min="7" max="7"/>
    <col width="54" customWidth="1" min="8" max="8"/>
    <col width="52" customWidth="1" min="9" max="9"/>
    <col width="14" customWidth="1" min="10" max="10"/>
    <col width="34" customWidth="1" min="11" max="11"/>
  </cols>
  <sheetData>
    <row r="1" ht="32" customHeight="1">
      <c r="A1" s="1" t="inlineStr">
        <is>
          <t>Scenariusz A: profil dobowy klienta bez obsługi nocnej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5" t="inlineStr">
        <is>
          <t>Krok</t>
        </is>
      </c>
      <c r="B2" s="5" t="inlineStr">
        <is>
          <t>Godzina</t>
        </is>
      </c>
      <c r="C2" s="5" t="inlineStr">
        <is>
          <t>Czas trwania</t>
        </is>
      </c>
      <c r="D2" s="5" t="inlineStr">
        <is>
          <t>Tryb</t>
        </is>
      </c>
      <c r="E2" s="5" t="inlineStr">
        <is>
          <t>Obciążenie [kW]</t>
        </is>
      </c>
      <c r="F2" s="5" t="inlineStr">
        <is>
          <t>L1/L2/L3 [kW]</t>
        </is>
      </c>
      <c r="G2" s="5" t="inlineStr">
        <is>
          <t>Warunek początkowy</t>
        </is>
      </c>
      <c r="H2" s="5" t="inlineStr">
        <is>
          <t>Co wykonać</t>
        </is>
      </c>
      <c r="I2" s="5" t="inlineStr">
        <is>
          <t>Oczekiwana reakcja</t>
        </is>
      </c>
      <c r="J2" s="5" t="inlineStr">
        <is>
          <t>Wynik</t>
        </is>
      </c>
      <c r="K2" s="5" t="inlineStr">
        <is>
          <t>Uwagi</t>
        </is>
      </c>
    </row>
    <row r="3" ht="24" customHeight="1">
      <c r="A3" s="4" t="n">
        <v>1</v>
      </c>
      <c r="B3" s="4" t="inlineStr">
        <is>
          <t>00:00-06:00</t>
        </is>
      </c>
      <c r="C3" s="4" t="inlineStr">
        <is>
          <t>6 h</t>
        </is>
      </c>
      <c r="D3" s="4" t="inlineStr">
        <is>
          <t>BESS / tryb cichy</t>
        </is>
      </c>
      <c r="E3" s="4" t="inlineStr">
        <is>
          <t>2→1</t>
        </is>
      </c>
      <c r="F3" s="4" t="inlineStr">
        <is>
          <t>sym.</t>
        </is>
      </c>
      <c r="G3" s="4" t="inlineStr">
        <is>
          <t>pełny zapis automatyczny</t>
        </is>
      </c>
      <c r="H3" s="4" t="inlineStr">
        <is>
          <t>Brak ręcznej obsługi; tylko logi i monitoring.</t>
        </is>
      </c>
      <c r="I3" s="4" t="inlineStr">
        <is>
          <t>Brak alarmów, stabilne U/f, brak pracy agregatu poza algorytmem.</t>
        </is>
      </c>
      <c r="J3" s="4" t="inlineStr"/>
      <c r="K3" s="4" t="inlineStr"/>
    </row>
    <row r="4" ht="24" customHeight="1">
      <c r="A4" s="4" t="n">
        <v>2</v>
      </c>
      <c r="B4" s="4" t="inlineStr">
        <is>
          <t>07:00</t>
        </is>
      </c>
      <c r="C4" s="4" t="inlineStr">
        <is>
          <t>30 min</t>
        </is>
      </c>
      <c r="D4" s="4" t="inlineStr">
        <is>
          <t>cold start / kontrola</t>
        </is>
      </c>
      <c r="E4" s="4" t="n">
        <v>4</v>
      </c>
      <c r="F4" s="4" t="inlineStr">
        <is>
          <t>sym.</t>
        </is>
      </c>
      <c r="G4" s="4" t="inlineStr">
        <is>
          <t>operator na miejscu</t>
        </is>
      </c>
      <c r="H4" s="4" t="inlineStr">
        <is>
          <t>Sprawdzić logi nocne, SOC, paliwo, temperatury, wentylację.</t>
        </is>
      </c>
      <c r="I4" s="4" t="inlineStr">
        <is>
          <t>Gotowość do testów dziennych.</t>
        </is>
      </c>
      <c r="J4" s="4" t="inlineStr"/>
      <c r="K4" s="4" t="inlineStr"/>
    </row>
    <row r="5" ht="24" customHeight="1">
      <c r="A5" s="4" t="n">
        <v>3</v>
      </c>
      <c r="B5" s="4" t="inlineStr">
        <is>
          <t>09:00</t>
        </is>
      </c>
      <c r="C5" s="4" t="inlineStr">
        <is>
          <t>3 min + 10 min obserwacji</t>
        </is>
      </c>
      <c r="D5" s="4" t="inlineStr">
        <is>
          <t>pik mocy</t>
        </is>
      </c>
      <c r="E5" s="4" t="n">
        <v>13</v>
      </c>
      <c r="F5" s="4" t="inlineStr">
        <is>
          <t>4,33/4,33/4,33</t>
        </is>
      </c>
      <c r="G5" s="4" t="inlineStr">
        <is>
          <t>stabilna praca 4 kW</t>
        </is>
      </c>
      <c r="H5" s="4" t="inlineStr">
        <is>
          <t>Wymusić pik 13 kW przez 3 minuty.</t>
        </is>
      </c>
      <c r="I5" s="4" t="inlineStr">
        <is>
          <t>Brak wyłączenia, akceptowalny spadek U/f, zapis reakcji.</t>
        </is>
      </c>
      <c r="J5" s="4" t="inlineStr"/>
      <c r="K5" s="4" t="inlineStr"/>
    </row>
    <row r="6" ht="24" customHeight="1">
      <c r="A6" s="4" t="n">
        <v>4</v>
      </c>
      <c r="B6" s="4" t="inlineStr">
        <is>
          <t>10:00-13:00</t>
        </is>
      </c>
      <c r="C6" s="4" t="inlineStr">
        <is>
          <t>4 h</t>
        </is>
      </c>
      <c r="D6" s="4" t="inlineStr">
        <is>
          <t>PV + BESS</t>
        </is>
      </c>
      <c r="E6" s="4" t="n">
        <v>2</v>
      </c>
      <c r="F6" s="4" t="inlineStr">
        <is>
          <t>sym.</t>
        </is>
      </c>
      <c r="G6" s="4" t="inlineStr">
        <is>
          <t>PV dostępne</t>
        </is>
      </c>
      <c r="H6" s="4" t="inlineStr">
        <is>
          <t>Obserwować priorytet PV i ładowanie BESS.</t>
        </is>
      </c>
      <c r="I6" s="4" t="inlineStr">
        <is>
          <t>Agregat nie startuje bez potrzeby, SOC zgodny z bilansem.</t>
        </is>
      </c>
      <c r="J6" s="4" t="inlineStr"/>
      <c r="K6" s="4" t="inlineStr"/>
    </row>
    <row r="7" ht="24" customHeight="1">
      <c r="A7" s="4" t="n">
        <v>5</v>
      </c>
      <c r="B7" s="4" t="inlineStr">
        <is>
          <t>16:00</t>
        </is>
      </c>
      <c r="C7" s="4" t="inlineStr">
        <is>
          <t>60 min</t>
        </is>
      </c>
      <c r="D7" s="4" t="inlineStr">
        <is>
          <t>niski SOC / agregat</t>
        </is>
      </c>
      <c r="E7" s="4" t="n">
        <v>3</v>
      </c>
      <c r="F7" s="4" t="inlineStr">
        <is>
          <t>sym.</t>
        </is>
      </c>
      <c r="G7" s="4" t="inlineStr">
        <is>
          <t>SOC zgodnie z procedurą</t>
        </is>
      </c>
      <c r="H7" s="4" t="inlineStr">
        <is>
          <t>Zasymulować próg startu agregatu lub wymusić tryb ładowania.</t>
        </is>
      </c>
      <c r="I7" s="4" t="inlineStr">
        <is>
          <t>Start agregatu, ładowanie BESS, odbiory mają priorytet.</t>
        </is>
      </c>
      <c r="J7" s="4" t="inlineStr"/>
      <c r="K7" s="4" t="inlineStr"/>
    </row>
    <row r="8" ht="24" customHeight="1">
      <c r="A8" s="4" t="n">
        <v>6</v>
      </c>
      <c r="B8" s="4" t="inlineStr">
        <is>
          <t>20:00-24:00</t>
        </is>
      </c>
      <c r="C8" s="4" t="inlineStr">
        <is>
          <t>4 h</t>
        </is>
      </c>
      <c r="D8" s="4" t="inlineStr">
        <is>
          <t>BESS / standby</t>
        </is>
      </c>
      <c r="E8" s="4" t="n">
        <v>2</v>
      </c>
      <c r="F8" s="4" t="inlineStr">
        <is>
          <t>sym.</t>
        </is>
      </c>
      <c r="G8" s="4" t="inlineStr">
        <is>
          <t>brak operatora</t>
        </is>
      </c>
      <c r="H8" s="4" t="inlineStr">
        <is>
          <t>Tylko automatyczne logowanie.</t>
        </is>
      </c>
      <c r="I8" s="4" t="inlineStr">
        <is>
          <t>Cicha praca, brak planowych interwencji nocnych.</t>
        </is>
      </c>
      <c r="J8" s="4" t="inlineStr"/>
      <c r="K8" s="4" t="inlineStr"/>
    </row>
  </sheetData>
  <autoFilter ref="A2:K8"/>
  <mergeCells count="1">
    <mergeCell ref="A1:K1"/>
  </mergeCells>
  <dataValidations count="1">
    <dataValidation sqref="J3:J8" showDropDown="0" showInputMessage="0" showErrorMessage="0" allowBlank="1" type="list">
      <formula1>"OK,NOK,Powtórzyć,N/D"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4" customWidth="1" min="4" max="4"/>
    <col width="16" customWidth="1" min="5" max="5"/>
    <col width="18" customWidth="1" min="6" max="6"/>
    <col width="28" customWidth="1" min="7" max="7"/>
    <col width="54" customWidth="1" min="8" max="8"/>
    <col width="52" customWidth="1" min="9" max="9"/>
    <col width="14" customWidth="1" min="10" max="10"/>
    <col width="34" customWidth="1" min="11" max="11"/>
  </cols>
  <sheetData>
    <row r="1" ht="32" customHeight="1">
      <c r="A1" s="1" t="inlineStr">
        <is>
          <t>Scenariusz B: FAT obciążeniowy dzienny 25/50/75/100%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5" t="inlineStr">
        <is>
          <t>Krok</t>
        </is>
      </c>
      <c r="B2" s="5" t="inlineStr">
        <is>
          <t>Godzina</t>
        </is>
      </c>
      <c r="C2" s="5" t="inlineStr">
        <is>
          <t>Czas trwania</t>
        </is>
      </c>
      <c r="D2" s="5" t="inlineStr">
        <is>
          <t>Tryb</t>
        </is>
      </c>
      <c r="E2" s="5" t="inlineStr">
        <is>
          <t>Obciążenie [kW]</t>
        </is>
      </c>
      <c r="F2" s="5" t="inlineStr">
        <is>
          <t>L1/L2/L3 [kW]</t>
        </is>
      </c>
      <c r="G2" s="5" t="inlineStr">
        <is>
          <t>Warunek początkowy</t>
        </is>
      </c>
      <c r="H2" s="5" t="inlineStr">
        <is>
          <t>Co wykonać</t>
        </is>
      </c>
      <c r="I2" s="5" t="inlineStr">
        <is>
          <t>Oczekiwana reakcja</t>
        </is>
      </c>
      <c r="J2" s="5" t="inlineStr">
        <is>
          <t>Wynik</t>
        </is>
      </c>
      <c r="K2" s="5" t="inlineStr">
        <is>
          <t>Uwagi</t>
        </is>
      </c>
    </row>
    <row r="3" ht="24" customHeight="1">
      <c r="A3" s="4" t="n">
        <v>1</v>
      </c>
      <c r="B3" s="4" t="inlineStr">
        <is>
          <t>08:00</t>
        </is>
      </c>
      <c r="C3" s="4" t="inlineStr">
        <is>
          <t>15 min</t>
        </is>
      </c>
      <c r="D3" s="4" t="inlineStr">
        <is>
          <t>bez obciążenia</t>
        </is>
      </c>
      <c r="E3" s="4" t="n">
        <v>0</v>
      </c>
      <c r="F3" s="4" t="inlineStr">
        <is>
          <t>0/0/0</t>
        </is>
      </c>
      <c r="G3" s="4" t="inlineStr">
        <is>
          <t>urządzenie gotowe</t>
        </is>
      </c>
      <c r="H3" s="4" t="inlineStr">
        <is>
          <t>Start falownika bez obciążenia, zapis U/f/temperatur.</t>
        </is>
      </c>
      <c r="I3" s="4" t="inlineStr">
        <is>
          <t>Stabilizacja bez alarmów.</t>
        </is>
      </c>
      <c r="J3" s="4" t="inlineStr"/>
      <c r="K3" s="4" t="inlineStr"/>
    </row>
    <row r="4" ht="24" customHeight="1">
      <c r="A4" s="4" t="n">
        <v>2</v>
      </c>
      <c r="B4" s="4" t="inlineStr">
        <is>
          <t>08:30</t>
        </is>
      </c>
      <c r="C4" s="4" t="inlineStr">
        <is>
          <t>30 min</t>
        </is>
      </c>
      <c r="D4" s="4" t="inlineStr">
        <is>
          <t>25%</t>
        </is>
      </c>
      <c r="E4" s="4" t="n">
        <v>3.25</v>
      </c>
      <c r="F4" s="4" t="inlineStr">
        <is>
          <t>1,08/1,08/1,08</t>
        </is>
      </c>
      <c r="G4" s="4" t="inlineStr">
        <is>
          <t>po stabilizacji</t>
        </is>
      </c>
      <c r="H4" s="4" t="inlineStr">
        <is>
          <t>Obciążenie symetryczne 25%.</t>
        </is>
      </c>
      <c r="I4" s="4" t="inlineStr">
        <is>
          <t>Stabilne napięcia i prądy.</t>
        </is>
      </c>
      <c r="J4" s="4" t="inlineStr"/>
      <c r="K4" s="4" t="inlineStr"/>
    </row>
    <row r="5" ht="24" customHeight="1">
      <c r="A5" s="4" t="n">
        <v>3</v>
      </c>
      <c r="B5" s="4" t="inlineStr">
        <is>
          <t>09:15</t>
        </is>
      </c>
      <c r="C5" s="4" t="inlineStr">
        <is>
          <t>30 min</t>
        </is>
      </c>
      <c r="D5" s="4" t="inlineStr">
        <is>
          <t>50%</t>
        </is>
      </c>
      <c r="E5" s="4" t="n">
        <v>6.5</v>
      </c>
      <c r="F5" s="4" t="inlineStr">
        <is>
          <t>2,17/2,17/2,17</t>
        </is>
      </c>
      <c r="G5" s="4" t="inlineStr">
        <is>
          <t>po kroku 2</t>
        </is>
      </c>
      <c r="H5" s="4" t="inlineStr">
        <is>
          <t>Obciążenie symetryczne 50%.</t>
        </is>
      </c>
      <c r="I5" s="4" t="inlineStr">
        <is>
          <t>Brak nadmiernego spadku U/f i wzrostu temperatur.</t>
        </is>
      </c>
      <c r="J5" s="4" t="inlineStr"/>
      <c r="K5" s="4" t="inlineStr"/>
    </row>
    <row r="6" ht="24" customHeight="1">
      <c r="A6" s="4" t="n">
        <v>4</v>
      </c>
      <c r="B6" s="4" t="inlineStr">
        <is>
          <t>10:00</t>
        </is>
      </c>
      <c r="C6" s="4" t="inlineStr">
        <is>
          <t>30 min</t>
        </is>
      </c>
      <c r="D6" s="4" t="inlineStr">
        <is>
          <t>75%</t>
        </is>
      </c>
      <c r="E6" s="4" t="n">
        <v>9.75</v>
      </c>
      <c r="F6" s="4" t="inlineStr">
        <is>
          <t>3,25/3,25/3,25</t>
        </is>
      </c>
      <c r="G6" s="4" t="inlineStr">
        <is>
          <t>po kroku 3</t>
        </is>
      </c>
      <c r="H6" s="4" t="inlineStr">
        <is>
          <t>Obciążenie symetryczne 75%.</t>
        </is>
      </c>
      <c r="I6" s="4" t="inlineStr">
        <is>
          <t>Reakcja falownika/BESS bez deratingu.</t>
        </is>
      </c>
      <c r="J6" s="4" t="inlineStr"/>
      <c r="K6" s="4" t="inlineStr"/>
    </row>
    <row r="7" ht="24" customHeight="1">
      <c r="A7" s="4" t="n">
        <v>5</v>
      </c>
      <c r="B7" s="4" t="inlineStr">
        <is>
          <t>10:45</t>
        </is>
      </c>
      <c r="C7" s="4" t="inlineStr">
        <is>
          <t>15 min</t>
        </is>
      </c>
      <c r="D7" s="4" t="inlineStr">
        <is>
          <t>100%</t>
        </is>
      </c>
      <c r="E7" s="4" t="n">
        <v>13</v>
      </c>
      <c r="F7" s="4" t="inlineStr">
        <is>
          <t>4,33/4,33/4,33</t>
        </is>
      </c>
      <c r="G7" s="4" t="inlineStr">
        <is>
          <t>zatwierdzone przez prowadzącego</t>
        </is>
      </c>
      <c r="H7" s="4" t="inlineStr">
        <is>
          <t>Obciążenie 100% bez przekraczania 13 kW.</t>
        </is>
      </c>
      <c r="I7" s="4" t="inlineStr">
        <is>
          <t>Osiąga moc znamionową bez alarmów krytycznych.</t>
        </is>
      </c>
      <c r="J7" s="4" t="inlineStr"/>
      <c r="K7" s="4" t="inlineStr"/>
    </row>
  </sheetData>
  <autoFilter ref="A2:K7"/>
  <mergeCells count="1">
    <mergeCell ref="A1:K1"/>
  </mergeCells>
  <dataValidations count="1">
    <dataValidation sqref="J3:J7" showDropDown="0" showInputMessage="0" showErrorMessage="0" allowBlank="1" type="list">
      <formula1>"OK,NOK,Powtórzyć,N/D"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4" customWidth="1" min="4" max="4"/>
    <col width="16" customWidth="1" min="5" max="5"/>
    <col width="18" customWidth="1" min="6" max="6"/>
    <col width="28" customWidth="1" min="7" max="7"/>
    <col width="54" customWidth="1" min="8" max="8"/>
    <col width="52" customWidth="1" min="9" max="9"/>
    <col width="14" customWidth="1" min="10" max="10"/>
    <col width="34" customWidth="1" min="11" max="11"/>
  </cols>
  <sheetData>
    <row r="1" ht="32" customHeight="1">
      <c r="A1" s="1" t="inlineStr">
        <is>
          <t>Scenariusz C: asymetria faz i skoki obciążenia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5" t="inlineStr">
        <is>
          <t>Krok</t>
        </is>
      </c>
      <c r="B2" s="5" t="inlineStr">
        <is>
          <t>Godzina</t>
        </is>
      </c>
      <c r="C2" s="5" t="inlineStr">
        <is>
          <t>Czas trwania</t>
        </is>
      </c>
      <c r="D2" s="5" t="inlineStr">
        <is>
          <t>Tryb</t>
        </is>
      </c>
      <c r="E2" s="5" t="inlineStr">
        <is>
          <t>Obciążenie [kW]</t>
        </is>
      </c>
      <c r="F2" s="5" t="inlineStr">
        <is>
          <t>L1/L2/L3 [kW]</t>
        </is>
      </c>
      <c r="G2" s="5" t="inlineStr">
        <is>
          <t>Warunek początkowy</t>
        </is>
      </c>
      <c r="H2" s="5" t="inlineStr">
        <is>
          <t>Co wykonać</t>
        </is>
      </c>
      <c r="I2" s="5" t="inlineStr">
        <is>
          <t>Oczekiwana reakcja</t>
        </is>
      </c>
      <c r="J2" s="5" t="inlineStr">
        <is>
          <t>Wynik</t>
        </is>
      </c>
      <c r="K2" s="5" t="inlineStr">
        <is>
          <t>Uwagi</t>
        </is>
      </c>
    </row>
    <row r="3" ht="24" customHeight="1">
      <c r="A3" s="4" t="n">
        <v>1</v>
      </c>
      <c r="B3" s="4" t="inlineStr">
        <is>
          <t>12:00</t>
        </is>
      </c>
      <c r="C3" s="4" t="inlineStr">
        <is>
          <t>15 min</t>
        </is>
      </c>
      <c r="D3" s="4" t="inlineStr">
        <is>
          <t>asymetria łagodna</t>
        </is>
      </c>
      <c r="E3" s="4" t="n">
        <v>4</v>
      </c>
      <c r="F3" s="4" t="inlineStr">
        <is>
          <t>2/1/1</t>
        </is>
      </c>
      <c r="G3" s="4" t="inlineStr">
        <is>
          <t>praca stabilna</t>
        </is>
      </c>
      <c r="H3" s="4" t="inlineStr">
        <is>
          <t>Ustawić nierówny rozkład faz.</t>
        </is>
      </c>
      <c r="I3" s="4" t="inlineStr">
        <is>
          <t>Falownik utrzymuje napięcia, brak alarmów przeciążenia fazy.</t>
        </is>
      </c>
      <c r="J3" s="4" t="inlineStr"/>
      <c r="K3" s="4" t="inlineStr"/>
    </row>
    <row r="4" ht="24" customHeight="1">
      <c r="A4" s="4" t="n">
        <v>2</v>
      </c>
      <c r="B4" s="4" t="inlineStr">
        <is>
          <t>12:30</t>
        </is>
      </c>
      <c r="C4" s="4" t="inlineStr">
        <is>
          <t>15 min</t>
        </is>
      </c>
      <c r="D4" s="4" t="inlineStr">
        <is>
          <t>asymetria budowa</t>
        </is>
      </c>
      <c r="E4" s="4" t="n">
        <v>5.5</v>
      </c>
      <c r="F4" s="4" t="inlineStr">
        <is>
          <t>4/1/0,5</t>
        </is>
      </c>
      <c r="G4" s="4" t="inlineStr">
        <is>
          <t>zgoda prowadzącego</t>
        </is>
      </c>
      <c r="H4" s="4" t="inlineStr">
        <is>
          <t>Profil kontenerów: L1 wysokie, L2 średnie, L3 niskie.</t>
        </is>
      </c>
      <c r="I4" s="4" t="inlineStr">
        <is>
          <t>System nie uszkadza prądnicy/agregatu, loguje asymetrię jeśli dotyczy.</t>
        </is>
      </c>
      <c r="J4" s="4" t="inlineStr"/>
      <c r="K4" s="4" t="inlineStr"/>
    </row>
    <row r="5" ht="24" customHeight="1">
      <c r="A5" s="4" t="n">
        <v>3</v>
      </c>
      <c r="B5" s="4" t="inlineStr">
        <is>
          <t>13:00</t>
        </is>
      </c>
      <c r="C5" s="4" t="inlineStr">
        <is>
          <t>3 min</t>
        </is>
      </c>
      <c r="D5" s="4" t="inlineStr">
        <is>
          <t>skok mocy</t>
        </is>
      </c>
      <c r="E5" s="4" t="n">
        <v>13</v>
      </c>
      <c r="F5" s="4" t="inlineStr">
        <is>
          <t>4,33/4,33/4,33</t>
        </is>
      </c>
      <c r="G5" s="4" t="inlineStr">
        <is>
          <t>bazowo 2-3 kW</t>
        </is>
      </c>
      <c r="H5" s="4" t="inlineStr">
        <is>
          <t>Nagły skok do 13 kW na 3 min.</t>
        </is>
      </c>
      <c r="I5" s="4" t="inlineStr">
        <is>
          <t>Czas powrotu U/f do stabilności zapisany.</t>
        </is>
      </c>
      <c r="J5" s="4" t="inlineStr"/>
      <c r="K5" s="4" t="inlineStr"/>
    </row>
    <row r="6" ht="24" customHeight="1">
      <c r="A6" s="4" t="n">
        <v>4</v>
      </c>
      <c r="B6" s="4" t="inlineStr">
        <is>
          <t>13:30</t>
        </is>
      </c>
      <c r="C6" s="4" t="inlineStr">
        <is>
          <t>15 min</t>
        </is>
      </c>
      <c r="D6" s="4" t="inlineStr">
        <is>
          <t>spadek obciążenia</t>
        </is>
      </c>
      <c r="E6" s="4" t="n">
        <v>1</v>
      </c>
      <c r="F6" s="4" t="inlineStr">
        <is>
          <t>0,33/0,33/0,33</t>
        </is>
      </c>
      <c r="G6" s="4" t="inlineStr">
        <is>
          <t>po skoku</t>
        </is>
      </c>
      <c r="H6" s="4" t="inlineStr">
        <is>
          <t>Szybki powrót do niskiego obciążenia.</t>
        </is>
      </c>
      <c r="I6" s="4" t="inlineStr">
        <is>
          <t>Brak oscylacji, brak błędów BMS/falownika.</t>
        </is>
      </c>
      <c r="J6" s="4" t="inlineStr"/>
      <c r="K6" s="4" t="inlineStr"/>
    </row>
  </sheetData>
  <autoFilter ref="A2:K6"/>
  <mergeCells count="1">
    <mergeCell ref="A1:K1"/>
  </mergeCells>
  <dataValidations count="1">
    <dataValidation sqref="J3:J6" showDropDown="0" showInputMessage="0" showErrorMessage="0" allowBlank="1" type="list">
      <formula1>"OK,NOK,Powtórzyć,N/D"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4" customWidth="1" min="4" max="4"/>
    <col width="16" customWidth="1" min="5" max="5"/>
    <col width="18" customWidth="1" min="6" max="6"/>
    <col width="28" customWidth="1" min="7" max="7"/>
    <col width="54" customWidth="1" min="8" max="8"/>
    <col width="52" customWidth="1" min="9" max="9"/>
    <col width="14" customWidth="1" min="10" max="10"/>
    <col width="34" customWidth="1" min="11" max="11"/>
  </cols>
  <sheetData>
    <row r="1" ht="32" customHeight="1">
      <c r="A1" s="1" t="inlineStr">
        <is>
          <t>Scenariusz D: zabezpieczenia i sytuacje awaryjne w oknie dziennym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5" t="inlineStr">
        <is>
          <t>Krok</t>
        </is>
      </c>
      <c r="B2" s="5" t="inlineStr">
        <is>
          <t>Godzina</t>
        </is>
      </c>
      <c r="C2" s="5" t="inlineStr">
        <is>
          <t>Czas trwania</t>
        </is>
      </c>
      <c r="D2" s="5" t="inlineStr">
        <is>
          <t>Tryb</t>
        </is>
      </c>
      <c r="E2" s="5" t="inlineStr">
        <is>
          <t>Obciążenie [kW]</t>
        </is>
      </c>
      <c r="F2" s="5" t="inlineStr">
        <is>
          <t>L1/L2/L3 [kW]</t>
        </is>
      </c>
      <c r="G2" s="5" t="inlineStr">
        <is>
          <t>Warunek początkowy</t>
        </is>
      </c>
      <c r="H2" s="5" t="inlineStr">
        <is>
          <t>Co wykonać</t>
        </is>
      </c>
      <c r="I2" s="5" t="inlineStr">
        <is>
          <t>Oczekiwana reakcja</t>
        </is>
      </c>
      <c r="J2" s="5" t="inlineStr">
        <is>
          <t>Wynik</t>
        </is>
      </c>
      <c r="K2" s="5" t="inlineStr">
        <is>
          <t>Uwagi</t>
        </is>
      </c>
    </row>
    <row r="3" ht="24" customHeight="1">
      <c r="A3" s="4" t="n">
        <v>1</v>
      </c>
      <c r="B3" s="4" t="inlineStr">
        <is>
          <t>14:30</t>
        </is>
      </c>
      <c r="C3" s="4" t="inlineStr">
        <is>
          <t>30 min</t>
        </is>
      </c>
      <c r="D3" s="4" t="inlineStr">
        <is>
          <t>E-STOP</t>
        </is>
      </c>
      <c r="E3" s="4" t="n">
        <v>2</v>
      </c>
      <c r="F3" s="4" t="inlineStr">
        <is>
          <t>sym.</t>
        </is>
      </c>
      <c r="G3" s="4" t="inlineStr">
        <is>
          <t>operator przy urządzeniu</t>
        </is>
      </c>
      <c r="H3" s="4" t="inlineStr">
        <is>
          <t>Wcisnąć E-STOP zgodnie z procedurą.</t>
        </is>
      </c>
      <c r="I3" s="4" t="inlineStr">
        <is>
          <t>Bezpieczne odcięcie, brak samoczynnego restartu, alarm w logach.</t>
        </is>
      </c>
      <c r="J3" s="4" t="inlineStr"/>
      <c r="K3" s="4" t="inlineStr"/>
    </row>
    <row r="4" ht="24" customHeight="1">
      <c r="A4" s="4" t="n">
        <v>2</v>
      </c>
      <c r="B4" s="4" t="inlineStr">
        <is>
          <t>15:15</t>
        </is>
      </c>
      <c r="C4" s="4" t="inlineStr">
        <is>
          <t>30 min</t>
        </is>
      </c>
      <c r="D4" s="4" t="inlineStr">
        <is>
          <t>restart kontrolowany</t>
        </is>
      </c>
      <c r="E4" s="4" t="n">
        <v>1</v>
      </c>
      <c r="F4" s="4" t="inlineStr">
        <is>
          <t>sym.</t>
        </is>
      </c>
      <c r="G4" s="4" t="inlineStr">
        <is>
          <t>po E-STOP</t>
        </is>
      </c>
      <c r="H4" s="4" t="inlineStr">
        <is>
          <t>Wykonać restart według instrukcji.</t>
        </is>
      </c>
      <c r="I4" s="4" t="inlineStr">
        <is>
          <t>Powrót do pracy po potwierdzeniu przez operatora.</t>
        </is>
      </c>
      <c r="J4" s="4" t="inlineStr"/>
      <c r="K4" s="4" t="inlineStr"/>
    </row>
    <row r="5" ht="24" customHeight="1">
      <c r="A5" s="4" t="n">
        <v>3</v>
      </c>
      <c r="B5" s="4" t="inlineStr">
        <is>
          <t>16:00</t>
        </is>
      </c>
      <c r="C5" s="4" t="inlineStr">
        <is>
          <t>60 min</t>
        </is>
      </c>
      <c r="D5" s="4" t="inlineStr">
        <is>
          <t>symulacja końca paliwa</t>
        </is>
      </c>
      <c r="E5" s="4" t="n">
        <v>3</v>
      </c>
      <c r="F5" s="4" t="inlineStr">
        <is>
          <t>sym.</t>
        </is>
      </c>
      <c r="G5" s="4" t="inlineStr">
        <is>
          <t>tylko jeśli bezpieczne</t>
        </is>
      </c>
      <c r="H5" s="4" t="inlineStr">
        <is>
          <t>Zasymulować niski poziom paliwa czujnikiem/procedurą, bez ryzykownego opróżniania instalacji.</t>
        </is>
      </c>
      <c r="I5" s="4" t="inlineStr">
        <is>
          <t>System alarmuje i przechodzi w stan bezpieczny.</t>
        </is>
      </c>
      <c r="J5" s="4" t="inlineStr"/>
      <c r="K5" s="4" t="inlineStr"/>
    </row>
    <row r="6" ht="24" customHeight="1">
      <c r="A6" s="4" t="n">
        <v>4</v>
      </c>
      <c r="B6" s="4" t="inlineStr">
        <is>
          <t>17:15</t>
        </is>
      </c>
      <c r="C6" s="4" t="inlineStr">
        <is>
          <t>30 min</t>
        </is>
      </c>
      <c r="D6" s="4" t="inlineStr">
        <is>
          <t>utrata komunikacji</t>
        </is>
      </c>
      <c r="E6" s="4" t="n">
        <v>2</v>
      </c>
      <c r="F6" s="4" t="inlineStr">
        <is>
          <t>sym.</t>
        </is>
      </c>
      <c r="G6" s="4" t="inlineStr">
        <is>
          <t>procedura fault injection</t>
        </is>
      </c>
      <c r="H6" s="4" t="inlineStr">
        <is>
          <t>Zasymulować utratę BMS-falownik tylko zgodnie z procedurą konstruktora.</t>
        </is>
      </c>
      <c r="I6" s="4" t="inlineStr">
        <is>
          <t>Falownik/BMS przechodzi w stan bezpieczny, jasny alarm.</t>
        </is>
      </c>
      <c r="J6" s="4" t="inlineStr"/>
      <c r="K6" s="4" t="inlineStr"/>
    </row>
  </sheetData>
  <autoFilter ref="A2:K6"/>
  <mergeCells count="1">
    <mergeCell ref="A1:K1"/>
  </mergeCells>
  <dataValidations count="1">
    <dataValidation sqref="J3:J6" showDropDown="0" showInputMessage="0" showErrorMessage="0" allowBlank="1" type="list">
      <formula1>"OK,NOK,Powtórzyć,N/D"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8" customWidth="1" min="3" max="3"/>
    <col width="58" customWidth="1" min="4" max="4"/>
  </cols>
  <sheetData>
    <row r="1" ht="32" customHeight="1">
      <c r="A1" s="1" t="inlineStr">
        <is>
          <t>Podsumowanie wyników i decyzja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5" t="inlineStr">
        <is>
          <t>Obszar</t>
        </is>
      </c>
      <c r="B2" s="5" t="inlineStr">
        <is>
          <t>Ocena</t>
        </is>
      </c>
      <c r="C2" s="5" t="inlineStr">
        <is>
          <t>Najważniejsze obserwacje</t>
        </is>
      </c>
      <c r="D2" s="5" t="inlineStr">
        <is>
          <t>Działanie korygujące / decyzja</t>
        </is>
      </c>
      <c r="E2" s="6" t="n"/>
      <c r="F2" s="6" t="n"/>
      <c r="G2" s="6" t="n"/>
      <c r="H2" s="6" t="n"/>
    </row>
    <row r="3" ht="24" customHeight="1">
      <c r="A3" s="4" t="inlineStr">
        <is>
          <t>Profil dobowy</t>
        </is>
      </c>
      <c r="B3" s="4" t="inlineStr"/>
      <c r="C3" s="4" t="inlineStr"/>
      <c r="D3" s="4" t="inlineStr"/>
      <c r="E3" s="2" t="n"/>
      <c r="F3" s="2" t="n"/>
      <c r="G3" s="2" t="n"/>
      <c r="H3" s="2" t="n"/>
    </row>
    <row r="4" ht="24" customHeight="1">
      <c r="A4" s="4" t="inlineStr">
        <is>
          <t>Stabilność napięcia i częstotliwości</t>
        </is>
      </c>
      <c r="B4" s="4" t="inlineStr"/>
      <c r="C4" s="4" t="inlineStr"/>
      <c r="D4" s="4" t="inlineStr"/>
      <c r="E4" s="2" t="n"/>
      <c r="F4" s="2" t="n"/>
      <c r="G4" s="2" t="n"/>
      <c r="H4" s="2" t="n"/>
    </row>
    <row r="5" ht="24" customHeight="1">
      <c r="A5" s="4" t="inlineStr">
        <is>
          <t>Praca z PV i magazynem energii</t>
        </is>
      </c>
      <c r="B5" s="4" t="inlineStr"/>
      <c r="C5" s="4" t="inlineStr"/>
      <c r="D5" s="4" t="inlineStr"/>
      <c r="E5" s="2" t="n"/>
      <c r="F5" s="2" t="n"/>
      <c r="G5" s="2" t="n"/>
      <c r="H5" s="2" t="n"/>
    </row>
    <row r="6" ht="24" customHeight="1">
      <c r="A6" s="4" t="inlineStr">
        <is>
          <t>Start i praca agregatu</t>
        </is>
      </c>
      <c r="B6" s="4" t="inlineStr"/>
      <c r="C6" s="4" t="inlineStr"/>
      <c r="D6" s="4" t="inlineStr"/>
      <c r="E6" s="2" t="n"/>
      <c r="F6" s="2" t="n"/>
      <c r="G6" s="2" t="n"/>
      <c r="H6" s="2" t="n"/>
    </row>
    <row r="7" ht="24" customHeight="1">
      <c r="A7" s="4" t="inlineStr">
        <is>
          <t>Piki 13 kW</t>
        </is>
      </c>
      <c r="B7" s="4" t="inlineStr"/>
      <c r="C7" s="4" t="inlineStr"/>
      <c r="D7" s="4" t="inlineStr"/>
      <c r="E7" s="2" t="n"/>
      <c r="F7" s="2" t="n"/>
      <c r="G7" s="2" t="n"/>
      <c r="H7" s="2" t="n"/>
    </row>
    <row r="8" ht="24" customHeight="1">
      <c r="A8" s="4" t="inlineStr">
        <is>
          <t>Asymetria faz</t>
        </is>
      </c>
      <c r="B8" s="4" t="inlineStr"/>
      <c r="C8" s="4" t="inlineStr"/>
      <c r="D8" s="4" t="inlineStr"/>
      <c r="E8" s="2" t="n"/>
      <c r="F8" s="2" t="n"/>
      <c r="G8" s="2" t="n"/>
      <c r="H8" s="2" t="n"/>
    </row>
    <row r="9" ht="24" customHeight="1">
      <c r="A9" s="4" t="inlineStr">
        <is>
          <t>E-STOP i restart</t>
        </is>
      </c>
      <c r="B9" s="4" t="inlineStr"/>
      <c r="C9" s="4" t="inlineStr"/>
      <c r="D9" s="4" t="inlineStr"/>
      <c r="E9" s="2" t="n"/>
      <c r="F9" s="2" t="n"/>
      <c r="G9" s="2" t="n"/>
      <c r="H9" s="2" t="n"/>
    </row>
    <row r="10" ht="24" customHeight="1">
      <c r="A10" s="4" t="inlineStr">
        <is>
          <t>Termika</t>
        </is>
      </c>
      <c r="B10" s="4" t="inlineStr"/>
      <c r="C10" s="4" t="inlineStr"/>
      <c r="D10" s="4" t="inlineStr"/>
      <c r="E10" s="2" t="n"/>
      <c r="F10" s="2" t="n"/>
      <c r="G10" s="2" t="n"/>
      <c r="H10" s="2" t="n"/>
    </row>
    <row r="11" ht="24" customHeight="1">
      <c r="A11" s="4" t="inlineStr">
        <is>
          <t>Paliwo i obsługa</t>
        </is>
      </c>
      <c r="B11" s="4" t="inlineStr"/>
      <c r="C11" s="4" t="inlineStr"/>
      <c r="D11" s="4" t="inlineStr"/>
      <c r="E11" s="2" t="n"/>
      <c r="F11" s="2" t="n"/>
      <c r="G11" s="2" t="n"/>
      <c r="H11" s="2" t="n"/>
    </row>
    <row r="12" ht="24" customHeight="1">
      <c r="A12" s="4" t="inlineStr">
        <is>
          <t>Alarmy / logi</t>
        </is>
      </c>
      <c r="B12" s="4" t="inlineStr"/>
      <c r="C12" s="4" t="inlineStr"/>
      <c r="D12" s="4" t="inlineStr"/>
      <c r="E12" s="2" t="n"/>
      <c r="F12" s="2" t="n"/>
      <c r="G12" s="2" t="n"/>
      <c r="H12" s="2" t="n"/>
    </row>
    <row r="13" ht="24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4" customHeight="1">
      <c r="A15" s="4" t="inlineStr">
        <is>
          <t>Decyzja końcowa</t>
        </is>
      </c>
      <c r="B15" s="4" t="inlineStr"/>
      <c r="C15" s="4" t="inlineStr">
        <is>
          <t>Podpis prowadzącego</t>
        </is>
      </c>
      <c r="D15" s="4" t="inlineStr"/>
      <c r="E15" s="2" t="n"/>
      <c r="F15" s="2" t="n"/>
      <c r="G15" s="2" t="n"/>
      <c r="H15" s="2" t="n"/>
    </row>
    <row r="16" ht="24" customHeight="1">
      <c r="A16" s="4" t="n"/>
      <c r="B16" s="4" t="n"/>
      <c r="C16" s="4" t="n"/>
      <c r="D16" s="4" t="n"/>
      <c r="E16" s="2" t="n"/>
      <c r="F16" s="2" t="n"/>
      <c r="G16" s="2" t="n"/>
      <c r="H16" s="2" t="n"/>
    </row>
    <row r="17" ht="24" customHeight="1">
      <c r="A17" s="4" t="inlineStr">
        <is>
          <t>Uwagi końcowe</t>
        </is>
      </c>
      <c r="B17" s="4" t="n"/>
      <c r="C17" s="4" t="n"/>
      <c r="D17" s="4" t="n"/>
      <c r="E17" s="2" t="n"/>
      <c r="F17" s="2" t="n"/>
      <c r="G17" s="2" t="n"/>
      <c r="H17" s="2" t="n"/>
    </row>
    <row r="18" ht="24" customHeight="1">
      <c r="A18" s="4" t="n"/>
      <c r="B18" s="4" t="n"/>
      <c r="C18" s="4" t="n"/>
      <c r="D18" s="4" t="n"/>
      <c r="E18" s="2" t="n"/>
      <c r="F18" s="2" t="n"/>
      <c r="G18" s="2" t="n"/>
      <c r="H18" s="2" t="n"/>
    </row>
    <row r="19" ht="24" customHeight="1">
      <c r="A19" s="4" t="n"/>
      <c r="B19" s="4" t="n"/>
      <c r="C19" s="4" t="n"/>
      <c r="D19" s="4" t="n"/>
      <c r="E19" s="2" t="n"/>
      <c r="F19" s="2" t="n"/>
      <c r="G19" s="2" t="n"/>
      <c r="H19" s="2" t="n"/>
    </row>
    <row r="20" ht="24" customHeight="1">
      <c r="A20" s="4" t="n"/>
      <c r="B20" s="4" t="n"/>
      <c r="C20" s="4" t="n"/>
      <c r="D20" s="4" t="n"/>
      <c r="E20" s="2" t="n"/>
      <c r="F20" s="2" t="n"/>
      <c r="G20" s="2" t="n"/>
      <c r="H20" s="2" t="n"/>
    </row>
    <row r="21" ht="24" customHeight="1">
      <c r="A21" s="4" t="n"/>
      <c r="B21" s="4" t="n"/>
      <c r="C21" s="4" t="n"/>
      <c r="D21" s="4" t="n"/>
      <c r="E21" s="2" t="n"/>
      <c r="F21" s="2" t="n"/>
      <c r="G21" s="2" t="n"/>
      <c r="H21" s="2" t="n"/>
    </row>
  </sheetData>
  <mergeCells count="2">
    <mergeCell ref="B17:D21"/>
    <mergeCell ref="A1:H1"/>
  </mergeCells>
  <dataValidations count="1">
    <dataValidation sqref="B3:B20" showDropDown="0" showInputMessage="0" showErrorMessage="0" allowBlank="1" type="list">
      <formula1>"OK,NOK,Warunkowo,Powtórzyć,N/D"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2026-05-18T20:06:06Z</dcterms:created>
  <dcterms:modified xmlns:dcterms="http://purl.org/dc/terms/" xmlns:xsi="http://www.w3.org/2001/XMLSchema-instance" xsi:type="dcterms:W3CDTF">2026-05-18T20:06:06Z</dcterms:modified>
</cp:coreProperties>
</file>